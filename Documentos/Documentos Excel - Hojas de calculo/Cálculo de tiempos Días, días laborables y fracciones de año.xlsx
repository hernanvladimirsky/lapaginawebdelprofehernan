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34455" yWindow="7590" windowWidth="23250" windowHeight="12450"/>
  </bookViews>
  <sheets>
    <sheet name="SIFECHA" sheetId="32" r:id="rId1"/>
    <sheet name="Frac.año" sheetId="33" r:id="rId2"/>
    <sheet name="DIAS" sheetId="34" r:id="rId3"/>
    <sheet name="Dias.Lab" sheetId="35" r:id="rId4"/>
    <sheet name="FUNCION XO" sheetId="25" state="hidden" r:id="rId5"/>
    <sheet name="Funcion NO con Y" sheetId="28" state="hidden" r:id="rId6"/>
  </sheets>
  <definedNames>
    <definedName name="Cantidad">#REF!</definedName>
    <definedName name="Mes">#REF!</definedName>
    <definedName name="Sales">#REF!</definedName>
    <definedName name="Tipo">#REF!</definedName>
    <definedName name="Vendedor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8" l="1"/>
  <c r="C6" i="28"/>
  <c r="B7" i="28"/>
  <c r="C7" i="28"/>
  <c r="B8" i="28"/>
  <c r="C8" i="28"/>
  <c r="B9" i="28"/>
  <c r="C9" i="28"/>
  <c r="B10" i="28"/>
  <c r="C10" i="28"/>
  <c r="B11" i="28"/>
  <c r="C11" i="28"/>
  <c r="B12" i="28"/>
  <c r="C12" i="28"/>
  <c r="B13" i="28"/>
  <c r="C13" i="28"/>
  <c r="B14" i="28"/>
  <c r="C14" i="28"/>
  <c r="B15" i="28"/>
  <c r="C15" i="28"/>
  <c r="B16" i="28"/>
  <c r="C16" i="28"/>
  <c r="B17" i="28"/>
  <c r="C17" i="28"/>
  <c r="B18" i="28"/>
  <c r="C18" i="28"/>
  <c r="B19" i="28"/>
  <c r="C19" i="28"/>
  <c r="B20" i="28"/>
  <c r="C20" i="28"/>
  <c r="B21" i="28"/>
  <c r="C21" i="28"/>
  <c r="B22" i="28"/>
  <c r="C22" i="28"/>
  <c r="B23" i="28"/>
  <c r="C23" i="28"/>
  <c r="B24" i="28"/>
  <c r="C24" i="28"/>
  <c r="B25" i="28"/>
  <c r="C25" i="28"/>
  <c r="G8" i="25" l="1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</calcChain>
</file>

<file path=xl/sharedStrings.xml><?xml version="1.0" encoding="utf-8"?>
<sst xmlns="http://schemas.openxmlformats.org/spreadsheetml/2006/main" count="184" uniqueCount="163">
  <si>
    <t>Año</t>
  </si>
  <si>
    <t>Ana</t>
  </si>
  <si>
    <t>A</t>
  </si>
  <si>
    <t>Lucía</t>
  </si>
  <si>
    <t>B</t>
  </si>
  <si>
    <t>Juan</t>
  </si>
  <si>
    <t>Pedro</t>
  </si>
  <si>
    <t>Sofía</t>
  </si>
  <si>
    <t>Estado</t>
  </si>
  <si>
    <t>Marca</t>
  </si>
  <si>
    <t>Modelo</t>
  </si>
  <si>
    <t>Patente</t>
  </si>
  <si>
    <t>Toyota</t>
  </si>
  <si>
    <t>Corolla</t>
  </si>
  <si>
    <t>Volkswagen</t>
  </si>
  <si>
    <t>Golf</t>
  </si>
  <si>
    <t>Ford</t>
  </si>
  <si>
    <t>Focus</t>
  </si>
  <si>
    <t>AC789GH</t>
  </si>
  <si>
    <t>Chevrolet</t>
  </si>
  <si>
    <t>Cruze</t>
  </si>
  <si>
    <t>AD234IJ</t>
  </si>
  <si>
    <t>Renault</t>
  </si>
  <si>
    <t>Sandero</t>
  </si>
  <si>
    <t>Peugeot</t>
  </si>
  <si>
    <t>Honda</t>
  </si>
  <si>
    <t>Civic</t>
  </si>
  <si>
    <t>Nissan</t>
  </si>
  <si>
    <t>Versa</t>
  </si>
  <si>
    <t>AD654QR</t>
  </si>
  <si>
    <t>Fiat</t>
  </si>
  <si>
    <t>Cronos</t>
  </si>
  <si>
    <t>Hyundai</t>
  </si>
  <si>
    <t>Tucson</t>
  </si>
  <si>
    <t>Kia</t>
  </si>
  <si>
    <t>Rio</t>
  </si>
  <si>
    <t>Citroën</t>
  </si>
  <si>
    <t>C4</t>
  </si>
  <si>
    <t>AE876YZ</t>
  </si>
  <si>
    <t>BMW</t>
  </si>
  <si>
    <t>Serie 3</t>
  </si>
  <si>
    <t>AB654AC</t>
  </si>
  <si>
    <t>Mercedes-Benz</t>
  </si>
  <si>
    <t>Clase A</t>
  </si>
  <si>
    <t>Audi</t>
  </si>
  <si>
    <t>A3</t>
  </si>
  <si>
    <t>AF765CE</t>
  </si>
  <si>
    <t>Jeep</t>
  </si>
  <si>
    <t>Renegade</t>
  </si>
  <si>
    <t>AD432DF</t>
  </si>
  <si>
    <t>Suzuki</t>
  </si>
  <si>
    <t>Swift</t>
  </si>
  <si>
    <t>Mazda</t>
  </si>
  <si>
    <t>CX-5</t>
  </si>
  <si>
    <t>AC999FH</t>
  </si>
  <si>
    <t>Mitsubishi</t>
  </si>
  <si>
    <t>Lancer</t>
  </si>
  <si>
    <t>AB555GI</t>
  </si>
  <si>
    <t>Volvo</t>
  </si>
  <si>
    <t>XC40</t>
  </si>
  <si>
    <t>AE808HJ</t>
  </si>
  <si>
    <t>AEI23CD</t>
  </si>
  <si>
    <t>AB567KI</t>
  </si>
  <si>
    <t>AA32I0P</t>
  </si>
  <si>
    <t>AF2I0UV</t>
  </si>
  <si>
    <t>AE2I0EG</t>
  </si>
  <si>
    <t>AE9875T</t>
  </si>
  <si>
    <t>AF456EFF</t>
  </si>
  <si>
    <t>AE890MII</t>
  </si>
  <si>
    <t>AC543KKK</t>
  </si>
  <si>
    <t>AE098VBD</t>
  </si>
  <si>
    <t>XO</t>
  </si>
  <si>
    <t>Y</t>
  </si>
  <si>
    <t>O</t>
  </si>
  <si>
    <t xml:space="preserve">FUNCION XO </t>
  </si>
  <si>
    <t>Notese que VERDADERO y FALSO tambien se pueden escribir como funciones</t>
  </si>
  <si>
    <t>Julieta</t>
  </si>
  <si>
    <t>Pablo</t>
  </si>
  <si>
    <t>Camila</t>
  </si>
  <si>
    <t>Rodrigo</t>
  </si>
  <si>
    <t>Florencia</t>
  </si>
  <si>
    <t>Sebastián</t>
  </si>
  <si>
    <t>Martina</t>
  </si>
  <si>
    <t>Nicolás</t>
  </si>
  <si>
    <t>Valeria</t>
  </si>
  <si>
    <t>Gonzalo</t>
  </si>
  <si>
    <t>Tomás</t>
  </si>
  <si>
    <t>Leo</t>
  </si>
  <si>
    <t>Carla</t>
  </si>
  <si>
    <t>Marcos</t>
  </si>
  <si>
    <t>Laura</t>
  </si>
  <si>
    <t>Enviar recordatorio de pago</t>
  </si>
  <si>
    <t>Factura vencida</t>
  </si>
  <si>
    <t>Pago realiozado</t>
  </si>
  <si>
    <t>Nombre</t>
  </si>
  <si>
    <t>A quién hay que enviarle un recordatorio</t>
  </si>
  <si>
    <t>Funcion NO con Y</t>
  </si>
  <si>
    <t>Calcular Edad con HOY y DATEDIF</t>
  </si>
  <si>
    <t>Fecha de nacimiento:</t>
  </si>
  <si>
    <t>Edad:</t>
  </si>
  <si>
    <t>Calcular Edad con HOY y FRAC.AÑO</t>
  </si>
  <si>
    <t>Duración de Proyecto</t>
  </si>
  <si>
    <t>Proyecto</t>
  </si>
  <si>
    <t>Fecha Inicio</t>
  </si>
  <si>
    <t>Fecha Fin</t>
  </si>
  <si>
    <t>Duración (días):</t>
  </si>
  <si>
    <t>01/06/2024</t>
  </si>
  <si>
    <t>15/07/2024</t>
  </si>
  <si>
    <t>Duración (semanas):</t>
  </si>
  <si>
    <t>10/07/2024</t>
  </si>
  <si>
    <t>30/08/2024</t>
  </si>
  <si>
    <t>Dias.Lab</t>
  </si>
  <si>
    <t>Fecha</t>
  </si>
  <si>
    <t>Día de la semana</t>
  </si>
  <si>
    <t>Festividad / motivo</t>
  </si>
  <si>
    <t>Comentarios / tipo</t>
  </si>
  <si>
    <t>N° Factura</t>
  </si>
  <si>
    <t>Fecha Emisión</t>
  </si>
  <si>
    <t>Fecha Vencimiento</t>
  </si>
  <si>
    <t>Miércoles</t>
  </si>
  <si>
    <t>Año Nuevo</t>
  </si>
  <si>
    <t>Feriado inamovible Argentina+2Chequeado+2</t>
  </si>
  <si>
    <t>001</t>
  </si>
  <si>
    <t>Lunes</t>
  </si>
  <si>
    <t>Carnaval (Lunes)</t>
  </si>
  <si>
    <t>Feriado inamovible Chequeado+2Argentina+2</t>
  </si>
  <si>
    <t>002</t>
  </si>
  <si>
    <t>Martes</t>
  </si>
  <si>
    <t>Carnaval (Martes)</t>
  </si>
  <si>
    <t>Feriado inamovible Chequeado+2La Voz+2</t>
  </si>
  <si>
    <t>Día Nacional de la Memoria por la Verdad y la Justicia</t>
  </si>
  <si>
    <t>Inamovible Chequeado+2Argentina+2</t>
  </si>
  <si>
    <t>Día del Veterano y de los Caídos en la Guerra de Malvinas</t>
  </si>
  <si>
    <t>Inamovible Argentina+2Argentina Travel+2</t>
  </si>
  <si>
    <t>Dias.Lab.Intl</t>
  </si>
  <si>
    <t>Jueves</t>
  </si>
  <si>
    <t>Jueves Santo (festividad cristiana)</t>
  </si>
  <si>
    <t>Día no laborable (festividad religiosa) Argentina+2Chequeado+2</t>
  </si>
  <si>
    <t>Viernes</t>
  </si>
  <si>
    <t>Viernes Santo</t>
  </si>
  <si>
    <t>Día del Trabajador</t>
  </si>
  <si>
    <t>Inamovible La Voz+3Argentina+3Argentina Travel+3</t>
  </si>
  <si>
    <t>Feriado con fines turísticos</t>
  </si>
  <si>
    <t>Puente turístico Argentina Travel+2Argentina+2</t>
  </si>
  <si>
    <t>Domingo</t>
  </si>
  <si>
    <t>Día de la Revolución de Mayo</t>
  </si>
  <si>
    <t>Inamovible La Voz+2Argentina+2</t>
  </si>
  <si>
    <r>
      <t xml:space="preserve">Lunes </t>
    </r>
    <r>
      <rPr>
        <b/>
        <sz val="11"/>
        <color theme="1"/>
        <rFont val="Aptos Narrow"/>
        <family val="2"/>
        <scheme val="minor"/>
      </rPr>
      <t>(trasladado)</t>
    </r>
  </si>
  <si>
    <t>Paso a la Inmortalidad del General Martín Miguel de Güemes</t>
  </si>
  <si>
    <t>Originalmente 17 de junio, trasladable La Voz+2Argentina+2</t>
  </si>
  <si>
    <t>Paso a la Inmortalidad del General Manuel Belgrano</t>
  </si>
  <si>
    <t>Día de la Independencia</t>
  </si>
  <si>
    <t>Paso a la Inmortalidad del General José de San Martín</t>
  </si>
  <si>
    <t>Trasladable (ver normativa) La Voz+2Argentina+2</t>
  </si>
  <si>
    <r>
      <t xml:space="preserve">Domingo → </t>
    </r>
    <r>
      <rPr>
        <b/>
        <sz val="11"/>
        <color theme="1"/>
        <rFont val="Aptos Narrow"/>
        <family val="2"/>
        <scheme val="minor"/>
      </rPr>
      <t>10 de octubre</t>
    </r>
  </si>
  <si>
    <t>Día del Respeto a la Diversidad Cultural</t>
  </si>
  <si>
    <t>Se traslada al viernes 10/10 (feriado nacional) Argentina Travel+3El Cronista+3Argentina+3</t>
  </si>
  <si>
    <t>Día de la Soberanía Nacional</t>
  </si>
  <si>
    <t>Trasladable (originalmente 20 de noviembre) La Voz+2Argentina+2</t>
  </si>
  <si>
    <t>Inmaculada Concepción de María</t>
  </si>
  <si>
    <t>Inamovible Argentina+2La Voz+2</t>
  </si>
  <si>
    <t>Navidad</t>
  </si>
  <si>
    <t>Inamovible Argentina+2Chequeado+2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</si>
</sst>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\ * #,##0.00_-;\-&quot;$&quot;\ * #,##0.00_-;_-&quot;$&quot;\ * &quot;-&quot;??_-;_-@_-"/>
    <numFmt numFmtId="166" formatCode="_(&quot;$&quot;* #,##0.00_);_(&quot;$&quot;* \(#,##0.00\);_(&quot;$&quot;* &quot;-&quot;?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2" fillId="0" borderId="8" xfId="0" applyFont="1" applyBorder="1" applyAlignment="1">
      <alignment horizontal="center" vertical="top"/>
    </xf>
    <xf numFmtId="0" fontId="2" fillId="0" borderId="0" xfId="0" applyFont="1"/>
    <xf numFmtId="0" fontId="4" fillId="2" borderId="0" xfId="0" applyFont="1" applyFill="1"/>
    <xf numFmtId="14" fontId="0" fillId="0" borderId="1" xfId="0" applyNumberFormat="1" applyBorder="1"/>
    <xf numFmtId="1" fontId="0" fillId="0" borderId="1" xfId="0" applyNumberFormat="1" applyBorder="1"/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6" fillId="2" borderId="0" xfId="0" applyFont="1" applyFill="1"/>
    <xf numFmtId="14" fontId="0" fillId="0" borderId="0" xfId="0" applyNumberFormat="1"/>
    <xf numFmtId="14" fontId="7" fillId="3" borderId="1" xfId="0" applyNumberFormat="1" applyFont="1" applyFill="1" applyBorder="1" applyAlignment="1">
      <alignment horizontal="center"/>
    </xf>
    <xf numFmtId="16" fontId="0" fillId="0" borderId="0" xfId="0" applyNumberFormat="1" applyAlignment="1">
      <alignment vertical="center" wrapText="1"/>
    </xf>
    <xf numFmtId="0" fontId="8" fillId="0" borderId="0" xfId="7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8">
    <cellStyle name="Currency 2 3" xfId="3"/>
    <cellStyle name="Hipervínculo" xfId="7" builtinId="8"/>
    <cellStyle name="Moneda 2" xfId="1"/>
    <cellStyle name="Normal" xfId="0" builtinId="0"/>
    <cellStyle name="Normal 2" xfId="2"/>
    <cellStyle name="Normal 2 2" xfId="4"/>
    <cellStyle name="Normal 2 3" xfId="5"/>
    <cellStyle name="Normal 3" xfId="6"/>
  </cellStyles>
  <dxfs count="18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/>
  </tableStyles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133350</xdr:rowOff>
    </xdr:from>
    <xdr:to>
      <xdr:col>8</xdr:col>
      <xdr:colOff>533400</xdr:colOff>
      <xdr:row>9</xdr:row>
      <xdr:rowOff>28575</xdr:rowOff>
    </xdr:to>
    <xdr:sp macro="" textlink="">
      <xdr:nvSpPr>
        <xdr:cNvPr id="2" name="Rectángulo: esquinas redondeadas 1">
          <a:extLst>
            <a:ext uri="{FF2B5EF4-FFF2-40B4-BE49-F238E27FC236}">
              <a16:creationId xmlns="" xmlns:a16="http://schemas.microsoft.com/office/drawing/2014/main" id="{6F0CFFFA-1224-489B-B888-55BC0FD5CF6F}"/>
            </a:ext>
          </a:extLst>
        </xdr:cNvPr>
        <xdr:cNvSpPr/>
      </xdr:nvSpPr>
      <xdr:spPr>
        <a:xfrm>
          <a:off x="4427220" y="320040"/>
          <a:ext cx="3497580" cy="13563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 función </a:t>
          </a:r>
          <a:r>
            <a:rPr lang="en-GB" sz="1100" b="1">
              <a:solidFill>
                <a:schemeClr val="lt1"/>
              </a:solidFill>
              <a:latin typeface="+mn-lt"/>
              <a:ea typeface="+mn-ea"/>
              <a:cs typeface="+mn-cs"/>
            </a:rPr>
            <a:t>SIFECHA</a:t>
          </a:r>
          <a:r>
            <a:rPr lang="en-GB" b="1"/>
            <a:t> existe en Excel desde sus primeras versiones, aunque no aparece en el catálogo de funciones. Fue introducida originalmente por compatibilidad con Lotus 1-2-3 y ha estado presente desde al menos </a:t>
          </a:r>
          <a:r>
            <a:rPr lang="en-GB" b="1" i="1"/>
            <a:t>Excel 5.0 (1993)</a:t>
          </a:r>
          <a:r>
            <a:rPr lang="en-GB" b="1"/>
            <a:t>.</a:t>
          </a:r>
        </a:p>
      </xdr:txBody>
    </xdr:sp>
    <xdr:clientData/>
  </xdr:twoCellAnchor>
  <xdr:twoCellAnchor>
    <xdr:from>
      <xdr:col>0</xdr:col>
      <xdr:colOff>180974</xdr:colOff>
      <xdr:row>10</xdr:row>
      <xdr:rowOff>47624</xdr:rowOff>
    </xdr:from>
    <xdr:to>
      <xdr:col>8</xdr:col>
      <xdr:colOff>66675</xdr:colOff>
      <xdr:row>26</xdr:row>
      <xdr:rowOff>114299</xdr:rowOff>
    </xdr:to>
    <xdr:sp macro="" textlink="">
      <xdr:nvSpPr>
        <xdr:cNvPr id="3" name="CuadroTexto 2"/>
        <xdr:cNvSpPr txBox="1"/>
      </xdr:nvSpPr>
      <xdr:spPr>
        <a:xfrm>
          <a:off x="180974" y="1866899"/>
          <a:ext cx="7800976" cy="2962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400" b="1" i="1"/>
            <a:t>Funcion</a:t>
          </a:r>
          <a:r>
            <a:rPr lang="es-AR" sz="1400" b="1" i="1" baseline="0"/>
            <a:t> Si Fecha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SIFECHA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Excel sirve para calcular el tiempo exacto que pasa entre dos fechas. Su estructura básica es =SIFECHA(fecha_inicial; fecha_final; unidad).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y argumentos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 inicial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día con el que empieza el cálculo (por ejemplo, una fecha de nacimiento).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 final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día en el que termina el cálculo (puedes usar la función HOY()).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 letra que indica si quieres el resultado en años, meses o días. Debe ir entre comillas.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Tipos de unidades que puedes usar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"Y"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Muestra los años completos entre las dos fechas.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"M"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Muestra los meses completos.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"D"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Muestra el total de días.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"YM"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Muestra los meses que pasan, sin contar los años.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"YD"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Muestra los días que pasan, sin contar los años.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5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6</xdr:row>
      <xdr:rowOff>114300</xdr:rowOff>
    </xdr:from>
    <xdr:to>
      <xdr:col>3</xdr:col>
      <xdr:colOff>352425</xdr:colOff>
      <xdr:row>27</xdr:row>
      <xdr:rowOff>0</xdr:rowOff>
    </xdr:to>
    <xdr:sp macro="" textlink="">
      <xdr:nvSpPr>
        <xdr:cNvPr id="3" name="CuadroTexto 2"/>
        <xdr:cNvSpPr txBox="1"/>
      </xdr:nvSpPr>
      <xdr:spPr>
        <a:xfrm>
          <a:off x="180975" y="1209675"/>
          <a:ext cx="5067300" cy="3686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Frac Año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</a:t>
          </a:r>
          <a:r>
            <a:rPr lang="es-AR"/>
            <a:t>FRAC.AÑO calcula el número de años y la porción de año (en decimales) que hay entre dos fechas. Su estructura básica requiere tres elementos principales: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fecha_inicio</a:t>
          </a:r>
          <a:r>
            <a:rPr lang="es-AR"/>
            <a:t>,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fecha_fin</a:t>
          </a:r>
          <a:r>
            <a:rPr lang="es-AR"/>
            <a:t> y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</a:t>
          </a:r>
          <a:r>
            <a:rPr lang="es-AR"/>
            <a:t>.</a:t>
          </a:r>
        </a:p>
        <a:p>
          <a:endParaRPr lang="es-AR" sz="1100"/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=FRAC.AÑO(fecha_inicio; fecha_fin; [base])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Explicación de los datos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fecha_inicio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punto de partida del cálculo (por ejemplo, una fecha de nacimiento o contratación).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fecha_fin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 fecha final del periodo (puedes usar funciones como HOY()).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(opcional)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número que define cómo se cuentan los días del año: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o vacío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Método americano (360 días al año / meses de 30 días).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Días reales del mes y días reales del año (Real/Real).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Días reales del mes, año fijo de 360 días.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Días reales del mes, año fijo de 365 días.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Método europeo (360 días al año).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8</xdr:row>
      <xdr:rowOff>19051</xdr:rowOff>
    </xdr:from>
    <xdr:to>
      <xdr:col>5</xdr:col>
      <xdr:colOff>219075</xdr:colOff>
      <xdr:row>18</xdr:row>
      <xdr:rowOff>85725</xdr:rowOff>
    </xdr:to>
    <xdr:sp macro="" textlink="">
      <xdr:nvSpPr>
        <xdr:cNvPr id="3" name="CuadroTexto 2"/>
        <xdr:cNvSpPr txBox="1"/>
      </xdr:nvSpPr>
      <xdr:spPr>
        <a:xfrm>
          <a:off x="133350" y="1485901"/>
          <a:ext cx="5905500" cy="1876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</a:t>
          </a:r>
          <a:r>
            <a:rPr lang="es-AR" sz="1100" b="1" i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Dias</a:t>
          </a:r>
          <a:endParaRPr lang="es-AR" sz="1100" b="1" i="1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DIAS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Microsoft Excel sirve para calcular el número de días que hay entre dos fechas. Su estructura básica es =DIAS(fecha_final, fecha_inicial).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Cómo aplicar la fórmula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Escribe =DIAS( en la celda donde quieras el resultado.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Selecciona o escribe primero la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 final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(la más reciente).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 una coma (, o ; según tu equipo) y selecciona la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 inicial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(la más antigua).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Cierra el paréntesis y presiona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s-AR" sz="1100"/>
        </a:p>
        <a:p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11</xdr:row>
      <xdr:rowOff>161925</xdr:rowOff>
    </xdr:from>
    <xdr:to>
      <xdr:col>4</xdr:col>
      <xdr:colOff>523875</xdr:colOff>
      <xdr:row>20</xdr:row>
      <xdr:rowOff>28575</xdr:rowOff>
    </xdr:to>
    <xdr:sp macro="" textlink="">
      <xdr:nvSpPr>
        <xdr:cNvPr id="3" name="CuadroTexto 2"/>
        <xdr:cNvSpPr txBox="1"/>
      </xdr:nvSpPr>
      <xdr:spPr>
        <a:xfrm>
          <a:off x="171450" y="2990850"/>
          <a:ext cx="5362575" cy="2181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 Dias Lab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DIAS.LAB</a:t>
          </a:r>
          <a:r>
            <a:rPr lang="es-AR"/>
            <a:t> sirve para calcular el número de días laborables entre dos fechas, excluyendo los fines de semana (sábados y domingos). Sus argumentos principales son la fecha inicial, la fecha final y un rango opcional de días festivos. [</a:t>
          </a:r>
          <a:r>
            <a:rPr lang="es-AR">
              <a:hlinkClick xmlns:r="http://schemas.openxmlformats.org/officeDocument/2006/relationships" r:id=""/>
            </a:rPr>
            <a:t>1</a:t>
          </a:r>
          <a:r>
            <a:rPr lang="es-AR"/>
            <a:t>, </a:t>
          </a:r>
          <a:r>
            <a:rPr lang="es-AR">
              <a:hlinkClick xmlns:r="http://schemas.openxmlformats.org/officeDocument/2006/relationships" r:id=""/>
            </a:rPr>
            <a:t>2</a:t>
          </a:r>
          <a:r>
            <a:rPr lang="es-AR"/>
            <a:t>, </a:t>
          </a:r>
          <a:r>
            <a:rPr lang="es-AR">
              <a:hlinkClick xmlns:r="http://schemas.openxmlformats.org/officeDocument/2006/relationships" r:id=""/>
            </a:rPr>
            <a:t>3</a:t>
          </a:r>
          <a:r>
            <a:rPr lang="es-AR"/>
            <a:t>]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=DIAS.LAB(fecha_inicial; fecha_final; [vacaciones])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fecha_inicial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día en que empieza el conteo.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fecha_final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día en que termina el conteo.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[vacaciones]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(Opcional) Un rango de celdas con las fechas de los días festivos que no se deben contar.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3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4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5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s-AR" sz="1100"/>
        </a:p>
      </xdr:txBody>
    </xdr:sp>
    <xdr:clientData/>
  </xdr:twoCellAnchor>
  <xdr:twoCellAnchor>
    <xdr:from>
      <xdr:col>0</xdr:col>
      <xdr:colOff>161925</xdr:colOff>
      <xdr:row>21</xdr:row>
      <xdr:rowOff>133349</xdr:rowOff>
    </xdr:from>
    <xdr:to>
      <xdr:col>5</xdr:col>
      <xdr:colOff>495300</xdr:colOff>
      <xdr:row>31</xdr:row>
      <xdr:rowOff>123824</xdr:rowOff>
    </xdr:to>
    <xdr:sp macro="" textlink="">
      <xdr:nvSpPr>
        <xdr:cNvPr id="4" name="CuadroTexto 3"/>
        <xdr:cNvSpPr txBox="1"/>
      </xdr:nvSpPr>
      <xdr:spPr>
        <a:xfrm>
          <a:off x="161925" y="5534024"/>
          <a:ext cx="6057900" cy="2562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Función Dias.Lab.Intl</a:t>
          </a:r>
        </a:p>
        <a:p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función </a:t>
          </a:r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DIAS.LAB.INTL</a:t>
          </a:r>
          <a:r>
            <a:rPr lang="es-AR"/>
            <a:t> en Excel sirve para calcular los días laborables entre dos fechas, permitiendo elegir qué días son de descanso y excluir días festivos. Su estructura básica es =DIAS.LAB.INTL(fecha_inicial, fecha_final, [fin_de_semana], [festivos])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 de la función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fecha_inicial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día en que empieza el conteo.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fecha_final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día en que termina el conteo.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[fin_de_semana]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(opcional)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Número o código de texto que indica qué días no se trabajan. Si se omite, por defecto el descanso es sábado y domingo.</a:t>
          </a:r>
        </a:p>
        <a:p>
          <a:r>
            <a:rPr lang="es-AR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[festivos]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(opcional)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Un rango de celdas con fechas de días no laborables o feriados que deseas descontar. [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1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2</a:t>
          </a:r>
          <a:r>
            <a:rPr lang="es-A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id="5" name="Tabla2" displayName="Tabla2" ref="N1:Q19" totalsRowShown="0" headerRowDxfId="17" dataDxfId="16">
  <autoFilter ref="N1:Q19"/>
  <tableColumns count="4">
    <tableColumn id="1" name="Fecha" dataDxfId="15"/>
    <tableColumn id="2" name="Día de la semana" dataDxfId="14"/>
    <tableColumn id="3" name="Festividad / motivo" dataDxfId="13"/>
    <tableColumn id="4" name="Comentarios / tipo" dataDxfId="12" dataCellStyle="Hipervíncul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7:G27" totalsRowShown="0" headerRowDxfId="11" dataDxfId="10">
  <autoFilter ref="A7:G27"/>
  <tableColumns count="7">
    <tableColumn id="1" name="Marca" dataDxfId="9"/>
    <tableColumn id="2" name="Modelo" dataDxfId="8"/>
    <tableColumn id="3" name="Año" dataDxfId="7"/>
    <tableColumn id="4" name="Patente" dataDxfId="6"/>
    <tableColumn id="5" name="XO" dataDxfId="5">
      <calculatedColumnFormula>_xlfn.XOR(LEN(Tabla1[[#This Row],[Patente]])=7,ISNUMBER(VALUE(MID(Tabla1[[#This Row],[Patente]],3,3))))</calculatedColumnFormula>
    </tableColumn>
    <tableColumn id="6" name="Y" dataDxfId="4">
      <calculatedColumnFormula>AND(LEN(Tabla1[[#This Row],[Patente]])=7,ISNUMBER(VALUE(MID(Tabla1[[#This Row],[Patente]],3,3))))</calculatedColumnFormula>
    </tableColumn>
    <tableColumn id="7" name="O" dataDxfId="3">
      <calculatedColumnFormula>OR(LEN(Tabla1[[#This Row],[Patente]])=7,ISNUMBER(VALUE(MID(Tabla1[[#This Row],[Patente]],3,3))))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a13" displayName="Tabla13" ref="A5:D25" totalsRowShown="0" headerRowDxfId="2" headerRowBorderDxfId="1" tableBorderDxfId="0">
  <autoFilter ref="A5:D25"/>
  <tableColumns count="4">
    <tableColumn id="1" name="Nombre"/>
    <tableColumn id="2" name="Pago realiozado"/>
    <tableColumn id="3" name="Factura vencida"/>
    <tableColumn id="4" name="Enviar recordatorio de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gentina.gob.ar/interior/feriados-nacionales-2025?utm_source=chatgpt.com" TargetMode="External"/><Relationship Id="rId13" Type="http://schemas.openxmlformats.org/officeDocument/2006/relationships/hyperlink" Target="https://www.lavoz.com.ar/servicios/feriados-2025-asi-quedo-el-calendario-oficial-completo-en-argentina/?utm_source=chatgpt.com" TargetMode="External"/><Relationship Id="rId18" Type="http://schemas.openxmlformats.org/officeDocument/2006/relationships/hyperlink" Target="https://www.argentina.gob.ar/interior/feriados-nacionales-2025?utm_source=chatgpt.com" TargetMode="External"/><Relationship Id="rId3" Type="http://schemas.openxmlformats.org/officeDocument/2006/relationships/hyperlink" Target="https://chequeado.com/el-explicador/calendario-de-feriados-2025-cuando-hay-fin-de-semana-largo/?utm_source=chatgpt.com" TargetMode="External"/><Relationship Id="rId7" Type="http://schemas.openxmlformats.org/officeDocument/2006/relationships/hyperlink" Target="https://chequeado.com/el-explicador/calendario-de-feriados-2025-cuando-hay-fin-de-semana-largo/?utm_source=chatgpt.com" TargetMode="External"/><Relationship Id="rId12" Type="http://schemas.openxmlformats.org/officeDocument/2006/relationships/hyperlink" Target="https://chequeado.com/el-explicador/calendario-de-feriados-2025-cuando-hay-fin-de-semana-largo/?utm_source=chatgpt.com" TargetMode="External"/><Relationship Id="rId17" Type="http://schemas.openxmlformats.org/officeDocument/2006/relationships/hyperlink" Target="https://www.argentina.gob.ar/interior/feriados-nacionales-2025?utm_source=chatgpt.com" TargetMode="External"/><Relationship Id="rId2" Type="http://schemas.openxmlformats.org/officeDocument/2006/relationships/hyperlink" Target="https://chequeado.com/el-explicador/calendario-de-feriados-2025-cuando-hay-fin-de-semana-largo/?utm_source=chatgpt.com" TargetMode="External"/><Relationship Id="rId16" Type="http://schemas.openxmlformats.org/officeDocument/2006/relationships/hyperlink" Target="https://www.lavoz.com.ar/servicios/feriados-2025-asi-quedo-el-calendario-oficial-completo-en-argentina/?utm_source=chatgpt.com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argentina.gob.ar/interior/feriados-nacionales-2025?utm_source=chatgpt.com" TargetMode="External"/><Relationship Id="rId6" Type="http://schemas.openxmlformats.org/officeDocument/2006/relationships/hyperlink" Target="https://www.argentina.gob.ar/interior/feriados-nacionales-2025?utm_source=chatgpt.com" TargetMode="External"/><Relationship Id="rId11" Type="http://schemas.openxmlformats.org/officeDocument/2006/relationships/hyperlink" Target="https://www.lavoz.com.ar/servicios/feriados-2025-asi-quedo-el-calendario-oficial-completo-en-argentina/?utm_source=chatgpt.com" TargetMode="External"/><Relationship Id="rId5" Type="http://schemas.openxmlformats.org/officeDocument/2006/relationships/hyperlink" Target="https://www.argentina.gob.ar/interior/feriados-nacionales-2025?utm_source=chatgpt.com" TargetMode="External"/><Relationship Id="rId15" Type="http://schemas.openxmlformats.org/officeDocument/2006/relationships/hyperlink" Target="https://www.cronista.com/informacion-gral/feriados-argentina-2025-cuando-es-el-proximo/?utm_source=chatgpt.com" TargetMode="External"/><Relationship Id="rId10" Type="http://schemas.openxmlformats.org/officeDocument/2006/relationships/hyperlink" Target="https://www.lavoz.com.ar/servicios/feriados-2025-asi-quedo-el-calendario-oficial-completo-en-argentina/?utm_source=chatgpt.com" TargetMode="External"/><Relationship Id="rId19" Type="http://schemas.openxmlformats.org/officeDocument/2006/relationships/drawing" Target="../drawings/drawing4.xml"/><Relationship Id="rId4" Type="http://schemas.openxmlformats.org/officeDocument/2006/relationships/hyperlink" Target="https://chequeado.com/el-explicador/calendario-de-feriados-2025-cuando-hay-fin-de-semana-largo/?utm_source=chatgpt.com" TargetMode="External"/><Relationship Id="rId9" Type="http://schemas.openxmlformats.org/officeDocument/2006/relationships/hyperlink" Target="https://www.argentina.travel/es/novedades/feriados-en-argentina-2025-calendario-para-planificar-tu-viaje?utm_source=chatgpt.com" TargetMode="External"/><Relationship Id="rId14" Type="http://schemas.openxmlformats.org/officeDocument/2006/relationships/hyperlink" Target="https://www.lavoz.com.ar/servicios/feriados-2025-asi-quedo-el-calendario-oficial-completo-en-argentina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K15" sqref="K15"/>
    </sheetView>
  </sheetViews>
  <sheetFormatPr baseColWidth="10" defaultColWidth="9.125" defaultRowHeight="14.25"/>
  <cols>
    <col min="1" max="1" width="38.125" bestFit="1" customWidth="1"/>
    <col min="2" max="2" width="11" bestFit="1" customWidth="1"/>
  </cols>
  <sheetData>
    <row r="1" spans="1:2" ht="15">
      <c r="A1" s="6" t="s">
        <v>97</v>
      </c>
    </row>
    <row r="3" spans="1:2">
      <c r="A3" s="5" t="s">
        <v>98</v>
      </c>
      <c r="B3" s="10"/>
    </row>
    <row r="4" spans="1:2">
      <c r="A4" s="5" t="s">
        <v>99</v>
      </c>
      <c r="B4" s="5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33" sqref="C33"/>
    </sheetView>
  </sheetViews>
  <sheetFormatPr baseColWidth="10" defaultColWidth="9.125" defaultRowHeight="14.25"/>
  <cols>
    <col min="1" max="1" width="38.125" bestFit="1" customWidth="1"/>
    <col min="2" max="2" width="17" customWidth="1"/>
  </cols>
  <sheetData>
    <row r="1" spans="1:2" ht="15">
      <c r="A1" s="6" t="s">
        <v>100</v>
      </c>
    </row>
    <row r="3" spans="1:2">
      <c r="A3" s="5" t="s">
        <v>98</v>
      </c>
      <c r="B3" s="10"/>
    </row>
    <row r="4" spans="1:2">
      <c r="A4" s="5" t="s">
        <v>99</v>
      </c>
      <c r="B4" s="1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H19" sqref="H19"/>
    </sheetView>
  </sheetViews>
  <sheetFormatPr baseColWidth="10" defaultColWidth="9.125" defaultRowHeight="14.25"/>
  <cols>
    <col min="1" max="1" width="28.625" bestFit="1" customWidth="1"/>
    <col min="2" max="2" width="10.625" bestFit="1" customWidth="1"/>
    <col min="3" max="3" width="10.25" bestFit="1" customWidth="1"/>
    <col min="5" max="5" width="17.75" bestFit="1" customWidth="1"/>
  </cols>
  <sheetData>
    <row r="1" spans="1:6" ht="15">
      <c r="A1" s="12" t="s">
        <v>101</v>
      </c>
    </row>
    <row r="2" spans="1:6" ht="15">
      <c r="A2" s="13" t="s">
        <v>102</v>
      </c>
      <c r="B2" s="13" t="s">
        <v>103</v>
      </c>
      <c r="C2" s="13" t="s">
        <v>104</v>
      </c>
      <c r="E2" s="5" t="s">
        <v>105</v>
      </c>
      <c r="F2" s="5"/>
    </row>
    <row r="3" spans="1:6">
      <c r="A3" s="5" t="s">
        <v>2</v>
      </c>
      <c r="B3" s="5" t="s">
        <v>106</v>
      </c>
      <c r="C3" s="5" t="s">
        <v>107</v>
      </c>
      <c r="E3" s="5" t="s">
        <v>108</v>
      </c>
      <c r="F3" s="11"/>
    </row>
    <row r="4" spans="1:6">
      <c r="A4" s="5" t="s">
        <v>4</v>
      </c>
      <c r="B4" s="5" t="s">
        <v>109</v>
      </c>
      <c r="C4" s="5" t="s">
        <v>110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I13" sqref="I13"/>
    </sheetView>
  </sheetViews>
  <sheetFormatPr baseColWidth="10" defaultColWidth="31.125" defaultRowHeight="20.45" customHeight="1"/>
  <cols>
    <col min="1" max="1" width="29.875" bestFit="1" customWidth="1"/>
    <col min="2" max="2" width="12.625" bestFit="1" customWidth="1"/>
    <col min="3" max="3" width="16.875" bestFit="1" customWidth="1"/>
    <col min="4" max="4" width="9.25" bestFit="1" customWidth="1"/>
    <col min="5" max="13" width="9.375" customWidth="1"/>
    <col min="14" max="14" width="14.75" bestFit="1" customWidth="1"/>
    <col min="15" max="15" width="22.5" bestFit="1" customWidth="1"/>
    <col min="16" max="16" width="51.625" bestFit="1" customWidth="1"/>
    <col min="17" max="17" width="76.375" bestFit="1" customWidth="1"/>
  </cols>
  <sheetData>
    <row r="1" spans="1:17" ht="20.45" customHeight="1">
      <c r="A1" s="14" t="s">
        <v>111</v>
      </c>
      <c r="B1" s="15"/>
      <c r="N1" s="4" t="s">
        <v>112</v>
      </c>
      <c r="O1" s="4" t="s">
        <v>113</v>
      </c>
      <c r="P1" s="4" t="s">
        <v>114</v>
      </c>
      <c r="Q1" s="4" t="s">
        <v>115</v>
      </c>
    </row>
    <row r="2" spans="1:17" ht="20.45" customHeight="1">
      <c r="A2" s="13" t="s">
        <v>116</v>
      </c>
      <c r="B2" s="16" t="s">
        <v>117</v>
      </c>
      <c r="C2" s="13" t="s">
        <v>118</v>
      </c>
      <c r="D2" s="13" t="s">
        <v>8</v>
      </c>
      <c r="N2" s="17">
        <v>45658</v>
      </c>
      <c r="O2" s="3" t="s">
        <v>119</v>
      </c>
      <c r="P2" s="3" t="s">
        <v>120</v>
      </c>
      <c r="Q2" s="18" t="s">
        <v>121</v>
      </c>
    </row>
    <row r="3" spans="1:17" ht="20.45" customHeight="1">
      <c r="A3" s="5" t="s">
        <v>122</v>
      </c>
      <c r="B3" s="10">
        <v>45839</v>
      </c>
      <c r="C3" s="10">
        <v>45854</v>
      </c>
      <c r="D3" s="5"/>
      <c r="N3" s="17">
        <v>45719</v>
      </c>
      <c r="O3" s="3" t="s">
        <v>123</v>
      </c>
      <c r="P3" s="3" t="s">
        <v>124</v>
      </c>
      <c r="Q3" s="18" t="s">
        <v>125</v>
      </c>
    </row>
    <row r="4" spans="1:17" ht="20.45" customHeight="1">
      <c r="A4" s="5" t="s">
        <v>126</v>
      </c>
      <c r="B4" s="10">
        <v>45689</v>
      </c>
      <c r="C4" s="10">
        <v>45854</v>
      </c>
      <c r="D4" s="5"/>
      <c r="N4" s="17">
        <v>45720</v>
      </c>
      <c r="O4" s="3" t="s">
        <v>127</v>
      </c>
      <c r="P4" s="3" t="s">
        <v>128</v>
      </c>
      <c r="Q4" s="18" t="s">
        <v>129</v>
      </c>
    </row>
    <row r="5" spans="1:17" ht="20.45" customHeight="1">
      <c r="B5" s="15"/>
      <c r="N5" s="17">
        <v>45740</v>
      </c>
      <c r="O5" s="3" t="s">
        <v>123</v>
      </c>
      <c r="P5" s="3" t="s">
        <v>130</v>
      </c>
      <c r="Q5" s="18" t="s">
        <v>131</v>
      </c>
    </row>
    <row r="6" spans="1:17" ht="20.45" customHeight="1">
      <c r="B6" s="15"/>
      <c r="N6" s="17">
        <v>45749</v>
      </c>
      <c r="O6" s="3" t="s">
        <v>119</v>
      </c>
      <c r="P6" s="3" t="s">
        <v>132</v>
      </c>
      <c r="Q6" s="18" t="s">
        <v>133</v>
      </c>
    </row>
    <row r="7" spans="1:17" ht="20.45" customHeight="1">
      <c r="A7" s="14" t="s">
        <v>134</v>
      </c>
      <c r="B7" s="15"/>
      <c r="N7" s="17">
        <v>45764</v>
      </c>
      <c r="O7" s="3" t="s">
        <v>135</v>
      </c>
      <c r="P7" s="3" t="s">
        <v>136</v>
      </c>
      <c r="Q7" s="18" t="s">
        <v>137</v>
      </c>
    </row>
    <row r="8" spans="1:17" ht="20.45" customHeight="1">
      <c r="A8" s="13" t="s">
        <v>116</v>
      </c>
      <c r="B8" s="16" t="s">
        <v>117</v>
      </c>
      <c r="C8" s="13" t="s">
        <v>118</v>
      </c>
      <c r="D8" s="13" t="s">
        <v>8</v>
      </c>
      <c r="N8" s="17">
        <v>45765</v>
      </c>
      <c r="O8" s="3" t="s">
        <v>138</v>
      </c>
      <c r="P8" s="3" t="s">
        <v>139</v>
      </c>
      <c r="Q8" s="18" t="s">
        <v>125</v>
      </c>
    </row>
    <row r="9" spans="1:17" ht="20.45" customHeight="1">
      <c r="A9" s="5" t="s">
        <v>122</v>
      </c>
      <c r="B9" s="10">
        <v>45839</v>
      </c>
      <c r="C9" s="10">
        <v>45854</v>
      </c>
      <c r="D9" s="5"/>
      <c r="N9" s="17">
        <v>45778</v>
      </c>
      <c r="O9" s="3" t="s">
        <v>135</v>
      </c>
      <c r="P9" s="3" t="s">
        <v>140</v>
      </c>
      <c r="Q9" s="18" t="s">
        <v>141</v>
      </c>
    </row>
    <row r="10" spans="1:17" ht="20.45" customHeight="1">
      <c r="A10" s="5" t="s">
        <v>126</v>
      </c>
      <c r="B10" s="10">
        <v>45689</v>
      </c>
      <c r="C10" s="10">
        <v>45854</v>
      </c>
      <c r="D10" s="5"/>
      <c r="N10" s="17">
        <v>45779</v>
      </c>
      <c r="O10" s="3" t="s">
        <v>138</v>
      </c>
      <c r="P10" s="3" t="s">
        <v>142</v>
      </c>
      <c r="Q10" s="18" t="s">
        <v>143</v>
      </c>
    </row>
    <row r="11" spans="1:17" ht="20.45" customHeight="1">
      <c r="N11" s="17">
        <v>45802</v>
      </c>
      <c r="O11" s="3" t="s">
        <v>144</v>
      </c>
      <c r="P11" s="3" t="s">
        <v>145</v>
      </c>
      <c r="Q11" s="18" t="s">
        <v>146</v>
      </c>
    </row>
    <row r="12" spans="1:17" ht="20.45" customHeight="1">
      <c r="N12" s="17">
        <v>45824</v>
      </c>
      <c r="O12" s="3" t="s">
        <v>147</v>
      </c>
      <c r="P12" s="3" t="s">
        <v>148</v>
      </c>
      <c r="Q12" s="18" t="s">
        <v>149</v>
      </c>
    </row>
    <row r="13" spans="1:17" ht="20.45" customHeight="1">
      <c r="N13" s="17">
        <v>45828</v>
      </c>
      <c r="O13" s="3" t="s">
        <v>138</v>
      </c>
      <c r="P13" s="3" t="s">
        <v>150</v>
      </c>
      <c r="Q13" s="18" t="s">
        <v>125</v>
      </c>
    </row>
    <row r="14" spans="1:17" ht="20.45" customHeight="1">
      <c r="N14" s="17">
        <v>45847</v>
      </c>
      <c r="O14" s="3" t="s">
        <v>119</v>
      </c>
      <c r="P14" s="3" t="s">
        <v>151</v>
      </c>
      <c r="Q14" s="18" t="s">
        <v>146</v>
      </c>
    </row>
    <row r="15" spans="1:17" ht="20.45" customHeight="1">
      <c r="N15" s="17">
        <v>45886</v>
      </c>
      <c r="O15" s="3" t="s">
        <v>144</v>
      </c>
      <c r="P15" s="3" t="s">
        <v>152</v>
      </c>
      <c r="Q15" s="18" t="s">
        <v>153</v>
      </c>
    </row>
    <row r="16" spans="1:17" ht="20.45" customHeight="1">
      <c r="N16" s="17">
        <v>45942</v>
      </c>
      <c r="O16" s="3" t="s">
        <v>154</v>
      </c>
      <c r="P16" s="3" t="s">
        <v>155</v>
      </c>
      <c r="Q16" s="18" t="s">
        <v>156</v>
      </c>
    </row>
    <row r="17" spans="14:17" ht="20.45" customHeight="1">
      <c r="N17" s="17">
        <v>45981</v>
      </c>
      <c r="O17" s="3" t="s">
        <v>135</v>
      </c>
      <c r="P17" s="3" t="s">
        <v>157</v>
      </c>
      <c r="Q17" s="18" t="s">
        <v>158</v>
      </c>
    </row>
    <row r="18" spans="14:17" ht="20.45" customHeight="1">
      <c r="N18" s="17">
        <v>45999</v>
      </c>
      <c r="O18" s="3" t="s">
        <v>123</v>
      </c>
      <c r="P18" s="3" t="s">
        <v>159</v>
      </c>
      <c r="Q18" s="18" t="s">
        <v>160</v>
      </c>
    </row>
    <row r="19" spans="14:17" ht="20.45" customHeight="1">
      <c r="N19" s="17">
        <v>46016</v>
      </c>
      <c r="O19" s="3" t="s">
        <v>135</v>
      </c>
      <c r="P19" s="3" t="s">
        <v>161</v>
      </c>
      <c r="Q19" s="18" t="s">
        <v>162</v>
      </c>
    </row>
  </sheetData>
  <hyperlinks>
    <hyperlink ref="Q2" r:id="rId1" display="https://www.argentina.gob.ar/interior/feriados-nacionales-2025?utm_source=chatgpt.com"/>
    <hyperlink ref="Q3" r:id="rId2" display="https://chequeado.com/el-explicador/calendario-de-feriados-2025-cuando-hay-fin-de-semana-largo/?utm_source=chatgpt.com"/>
    <hyperlink ref="Q4" r:id="rId3" display="https://chequeado.com/el-explicador/calendario-de-feriados-2025-cuando-hay-fin-de-semana-largo/?utm_source=chatgpt.com"/>
    <hyperlink ref="Q5" r:id="rId4" display="https://chequeado.com/el-explicador/calendario-de-feriados-2025-cuando-hay-fin-de-semana-largo/?utm_source=chatgpt.com"/>
    <hyperlink ref="Q6" r:id="rId5" display="https://www.argentina.gob.ar/interior/feriados-nacionales-2025?utm_source=chatgpt.com"/>
    <hyperlink ref="Q7" r:id="rId6" display="https://www.argentina.gob.ar/interior/feriados-nacionales-2025?utm_source=chatgpt.com"/>
    <hyperlink ref="Q8" r:id="rId7" display="https://chequeado.com/el-explicador/calendario-de-feriados-2025-cuando-hay-fin-de-semana-largo/?utm_source=chatgpt.com"/>
    <hyperlink ref="Q9" r:id="rId8" display="https://www.argentina.gob.ar/interior/feriados-nacionales-2025?utm_source=chatgpt.com"/>
    <hyperlink ref="Q10" r:id="rId9" display="https://www.argentina.travel/es/novedades/feriados-en-argentina-2025-calendario-para-planificar-tu-viaje?utm_source=chatgpt.com"/>
    <hyperlink ref="Q11" r:id="rId10" display="https://www.lavoz.com.ar/servicios/feriados-2025-asi-quedo-el-calendario-oficial-completo-en-argentina/?utm_source=chatgpt.com"/>
    <hyperlink ref="Q12" r:id="rId11" display="https://www.lavoz.com.ar/servicios/feriados-2025-asi-quedo-el-calendario-oficial-completo-en-argentina/?utm_source=chatgpt.com"/>
    <hyperlink ref="Q13" r:id="rId12" display="https://chequeado.com/el-explicador/calendario-de-feriados-2025-cuando-hay-fin-de-semana-largo/?utm_source=chatgpt.com"/>
    <hyperlink ref="Q14" r:id="rId13" display="https://www.lavoz.com.ar/servicios/feriados-2025-asi-quedo-el-calendario-oficial-completo-en-argentina/?utm_source=chatgpt.com"/>
    <hyperlink ref="Q15" r:id="rId14" display="https://www.lavoz.com.ar/servicios/feriados-2025-asi-quedo-el-calendario-oficial-completo-en-argentina/?utm_source=chatgpt.com"/>
    <hyperlink ref="Q16" r:id="rId15" display="https://www.cronista.com/informacion-gral/feriados-argentina-2025-cuando-es-el-proximo/?utm_source=chatgpt.com"/>
    <hyperlink ref="Q17" r:id="rId16" display="https://www.lavoz.com.ar/servicios/feriados-2025-asi-quedo-el-calendario-oficial-completo-en-argentina/?utm_source=chatgpt.com"/>
    <hyperlink ref="Q18" r:id="rId17" display="https://www.argentina.gob.ar/interior/feriados-nacionales-2025?utm_source=chatgpt.com"/>
    <hyperlink ref="Q19" r:id="rId18" display="https://www.argentina.gob.ar/interior/feriados-nacionales-2025?utm_source=chatgpt.com"/>
  </hyperlinks>
  <pageMargins left="0.75" right="0.75" top="1" bottom="1" header="0.5" footer="0.5"/>
  <drawing r:id="rId19"/>
  <tableParts count="1">
    <tablePart r:id="rId2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workbookViewId="0">
      <selection sqref="A1:XFD1048576"/>
    </sheetView>
  </sheetViews>
  <sheetFormatPr baseColWidth="10" defaultRowHeight="14.25"/>
  <cols>
    <col min="3" max="3" width="19.875" customWidth="1"/>
    <col min="4" max="4" width="23.375" customWidth="1"/>
    <col min="5" max="5" width="23.875" customWidth="1"/>
  </cols>
  <sheetData>
    <row r="2" spans="1:7" ht="30">
      <c r="A2" s="2" t="s">
        <v>74</v>
      </c>
      <c r="B2" s="2"/>
      <c r="C2" s="2"/>
      <c r="D2" s="1"/>
    </row>
    <row r="7" spans="1:7" ht="15">
      <c r="A7" s="4" t="s">
        <v>9</v>
      </c>
      <c r="B7" s="4" t="s">
        <v>10</v>
      </c>
      <c r="C7" s="4" t="s">
        <v>0</v>
      </c>
      <c r="D7" s="4" t="s">
        <v>11</v>
      </c>
      <c r="E7" s="4" t="s">
        <v>71</v>
      </c>
      <c r="F7" s="4" t="s">
        <v>72</v>
      </c>
      <c r="G7" s="4" t="s">
        <v>73</v>
      </c>
    </row>
    <row r="8" spans="1:7">
      <c r="A8" s="3" t="s">
        <v>12</v>
      </c>
      <c r="B8" s="3" t="s">
        <v>13</v>
      </c>
      <c r="C8" s="3">
        <v>2021</v>
      </c>
      <c r="D8" s="3" t="s">
        <v>61</v>
      </c>
      <c r="E8" s="3" t="b">
        <f>_xlfn.XOR(LEN(Tabla1[[#This Row],[Patente]])=7,ISNUMBER(VALUE(MID(Tabla1[[#This Row],[Patente]],3,3))))</f>
        <v>1</v>
      </c>
      <c r="F8" s="3" t="b">
        <f>AND(LEN(Tabla1[[#This Row],[Patente]])=7,ISNUMBER(VALUE(MID(Tabla1[[#This Row],[Patente]],3,3))))</f>
        <v>0</v>
      </c>
      <c r="G8" s="3" t="b">
        <f>OR(LEN(Tabla1[[#This Row],[Patente]])=7,ISNUMBER(VALUE(MID(Tabla1[[#This Row],[Patente]],3,3))))</f>
        <v>1</v>
      </c>
    </row>
    <row r="9" spans="1:7">
      <c r="A9" s="3" t="s">
        <v>14</v>
      </c>
      <c r="B9" s="3" t="s">
        <v>15</v>
      </c>
      <c r="C9" s="3">
        <v>2019</v>
      </c>
      <c r="D9" s="3" t="s">
        <v>67</v>
      </c>
      <c r="E9" s="3" t="b">
        <f>_xlfn.XOR(LEN(Tabla1[[#This Row],[Patente]])=7,ISNUMBER(VALUE(MID(Tabla1[[#This Row],[Patente]],3,3))))</f>
        <v>1</v>
      </c>
      <c r="F9" s="3" t="b">
        <f>AND(LEN(Tabla1[[#This Row],[Patente]])=7,ISNUMBER(VALUE(MID(Tabla1[[#This Row],[Patente]],3,3))))</f>
        <v>0</v>
      </c>
      <c r="G9" s="3" t="b">
        <f>OR(LEN(Tabla1[[#This Row],[Patente]])=7,ISNUMBER(VALUE(MID(Tabla1[[#This Row],[Patente]],3,3))))</f>
        <v>1</v>
      </c>
    </row>
    <row r="10" spans="1:7">
      <c r="A10" s="3" t="s">
        <v>16</v>
      </c>
      <c r="B10" s="3" t="s">
        <v>17</v>
      </c>
      <c r="C10" s="3">
        <v>2020</v>
      </c>
      <c r="D10" s="3" t="s">
        <v>18</v>
      </c>
      <c r="E10" s="3" t="b">
        <f>_xlfn.XOR(LEN(Tabla1[[#This Row],[Patente]])=7,ISNUMBER(VALUE(MID(Tabla1[[#This Row],[Patente]],3,3))))</f>
        <v>0</v>
      </c>
      <c r="F10" s="3" t="b">
        <f>AND(LEN(Tabla1[[#This Row],[Patente]])=7,ISNUMBER(VALUE(MID(Tabla1[[#This Row],[Patente]],3,3))))</f>
        <v>1</v>
      </c>
      <c r="G10" s="3" t="b">
        <f>OR(LEN(Tabla1[[#This Row],[Patente]])=7,ISNUMBER(VALUE(MID(Tabla1[[#This Row],[Patente]],3,3))))</f>
        <v>1</v>
      </c>
    </row>
    <row r="11" spans="1:7">
      <c r="A11" s="3" t="s">
        <v>19</v>
      </c>
      <c r="B11" s="3" t="s">
        <v>20</v>
      </c>
      <c r="C11" s="3">
        <v>2022</v>
      </c>
      <c r="D11" s="3" t="s">
        <v>21</v>
      </c>
      <c r="E11" s="3" t="b">
        <f>_xlfn.XOR(LEN(Tabla1[[#This Row],[Patente]])=7,ISNUMBER(VALUE(MID(Tabla1[[#This Row],[Patente]],3,3))))</f>
        <v>0</v>
      </c>
      <c r="F11" s="3" t="b">
        <f>AND(LEN(Tabla1[[#This Row],[Patente]])=7,ISNUMBER(VALUE(MID(Tabla1[[#This Row],[Patente]],3,3))))</f>
        <v>1</v>
      </c>
      <c r="G11" s="3" t="b">
        <f>OR(LEN(Tabla1[[#This Row],[Patente]])=7,ISNUMBER(VALUE(MID(Tabla1[[#This Row],[Patente]],3,3))))</f>
        <v>1</v>
      </c>
    </row>
    <row r="12" spans="1:7">
      <c r="A12" s="3" t="s">
        <v>22</v>
      </c>
      <c r="B12" s="3" t="s">
        <v>23</v>
      </c>
      <c r="C12" s="3">
        <v>2018</v>
      </c>
      <c r="D12" s="3" t="s">
        <v>62</v>
      </c>
      <c r="E12" s="3" t="b">
        <f>_xlfn.XOR(LEN(Tabla1[[#This Row],[Patente]])=7,ISNUMBER(VALUE(MID(Tabla1[[#This Row],[Patente]],3,3))))</f>
        <v>0</v>
      </c>
      <c r="F12" s="3" t="b">
        <f>AND(LEN(Tabla1[[#This Row],[Patente]])=7,ISNUMBER(VALUE(MID(Tabla1[[#This Row],[Patente]],3,3))))</f>
        <v>1</v>
      </c>
      <c r="G12" s="3" t="b">
        <f>OR(LEN(Tabla1[[#This Row],[Patente]])=7,ISNUMBER(VALUE(MID(Tabla1[[#This Row],[Patente]],3,3))))</f>
        <v>1</v>
      </c>
    </row>
    <row r="13" spans="1:7">
      <c r="A13" s="3" t="s">
        <v>24</v>
      </c>
      <c r="B13" s="3">
        <v>208</v>
      </c>
      <c r="C13" s="3">
        <v>2023</v>
      </c>
      <c r="D13" s="3" t="s">
        <v>68</v>
      </c>
      <c r="E13" s="3" t="b">
        <f>_xlfn.XOR(LEN(Tabla1[[#This Row],[Patente]])=7,ISNUMBER(VALUE(MID(Tabla1[[#This Row],[Patente]],3,3))))</f>
        <v>1</v>
      </c>
      <c r="F13" s="3" t="b">
        <f>AND(LEN(Tabla1[[#This Row],[Patente]])=7,ISNUMBER(VALUE(MID(Tabla1[[#This Row],[Patente]],3,3))))</f>
        <v>0</v>
      </c>
      <c r="G13" s="3" t="b">
        <f>OR(LEN(Tabla1[[#This Row],[Patente]])=7,ISNUMBER(VALUE(MID(Tabla1[[#This Row],[Patente]],3,3))))</f>
        <v>1</v>
      </c>
    </row>
    <row r="14" spans="1:7">
      <c r="A14" s="3" t="s">
        <v>25</v>
      </c>
      <c r="B14" s="3" t="s">
        <v>26</v>
      </c>
      <c r="C14" s="3">
        <v>2017</v>
      </c>
      <c r="D14" s="3" t="s">
        <v>63</v>
      </c>
      <c r="E14" s="3" t="b">
        <f>_xlfn.XOR(LEN(Tabla1[[#This Row],[Patente]])=7,ISNUMBER(VALUE(MID(Tabla1[[#This Row],[Patente]],3,3))))</f>
        <v>1</v>
      </c>
      <c r="F14" s="3" t="b">
        <f>AND(LEN(Tabla1[[#This Row],[Patente]])=7,ISNUMBER(VALUE(MID(Tabla1[[#This Row],[Patente]],3,3))))</f>
        <v>0</v>
      </c>
      <c r="G14" s="3" t="b">
        <f>OR(LEN(Tabla1[[#This Row],[Patente]])=7,ISNUMBER(VALUE(MID(Tabla1[[#This Row],[Patente]],3,3))))</f>
        <v>1</v>
      </c>
    </row>
    <row r="15" spans="1:7">
      <c r="A15" s="3" t="s">
        <v>27</v>
      </c>
      <c r="B15" s="3" t="s">
        <v>28</v>
      </c>
      <c r="C15" s="3">
        <v>2021</v>
      </c>
      <c r="D15" s="3" t="s">
        <v>29</v>
      </c>
      <c r="E15" s="3" t="b">
        <f>_xlfn.XOR(LEN(Tabla1[[#This Row],[Patente]])=7,ISNUMBER(VALUE(MID(Tabla1[[#This Row],[Patente]],3,3))))</f>
        <v>0</v>
      </c>
      <c r="F15" s="3" t="b">
        <f>AND(LEN(Tabla1[[#This Row],[Patente]])=7,ISNUMBER(VALUE(MID(Tabla1[[#This Row],[Patente]],3,3))))</f>
        <v>1</v>
      </c>
      <c r="G15" s="3" t="b">
        <f>OR(LEN(Tabla1[[#This Row],[Patente]])=7,ISNUMBER(VALUE(MID(Tabla1[[#This Row],[Patente]],3,3))))</f>
        <v>1</v>
      </c>
    </row>
    <row r="16" spans="1:7">
      <c r="A16" s="3" t="s">
        <v>30</v>
      </c>
      <c r="B16" s="3" t="s">
        <v>31</v>
      </c>
      <c r="C16" s="3">
        <v>2022</v>
      </c>
      <c r="D16" s="3" t="s">
        <v>66</v>
      </c>
      <c r="E16" s="3" t="b">
        <f>_xlfn.XOR(LEN(Tabla1[[#This Row],[Patente]])=7,ISNUMBER(VALUE(MID(Tabla1[[#This Row],[Patente]],3,3))))</f>
        <v>0</v>
      </c>
      <c r="F16" s="3" t="b">
        <f>AND(LEN(Tabla1[[#This Row],[Patente]])=7,ISNUMBER(VALUE(MID(Tabla1[[#This Row],[Patente]],3,3))))</f>
        <v>1</v>
      </c>
      <c r="G16" s="3" t="b">
        <f>OR(LEN(Tabla1[[#This Row],[Patente]])=7,ISNUMBER(VALUE(MID(Tabla1[[#This Row],[Patente]],3,3))))</f>
        <v>1</v>
      </c>
    </row>
    <row r="17" spans="1:7">
      <c r="A17" s="3" t="s">
        <v>32</v>
      </c>
      <c r="B17" s="3" t="s">
        <v>33</v>
      </c>
      <c r="C17" s="3">
        <v>2019</v>
      </c>
      <c r="D17" s="3" t="s">
        <v>64</v>
      </c>
      <c r="E17" s="3" t="b">
        <f>_xlfn.XOR(LEN(Tabla1[[#This Row],[Patente]])=7,ISNUMBER(VALUE(MID(Tabla1[[#This Row],[Patente]],3,3))))</f>
        <v>1</v>
      </c>
      <c r="F17" s="3" t="b">
        <f>AND(LEN(Tabla1[[#This Row],[Patente]])=7,ISNUMBER(VALUE(MID(Tabla1[[#This Row],[Patente]],3,3))))</f>
        <v>0</v>
      </c>
      <c r="G17" s="3" t="b">
        <f>OR(LEN(Tabla1[[#This Row],[Patente]])=7,ISNUMBER(VALUE(MID(Tabla1[[#This Row],[Patente]],3,3))))</f>
        <v>1</v>
      </c>
    </row>
    <row r="18" spans="1:7">
      <c r="A18" s="3" t="s">
        <v>34</v>
      </c>
      <c r="B18" s="3" t="s">
        <v>35</v>
      </c>
      <c r="C18" s="3">
        <v>2020</v>
      </c>
      <c r="D18" s="3" t="s">
        <v>69</v>
      </c>
      <c r="E18" s="3" t="b">
        <f>_xlfn.XOR(LEN(Tabla1[[#This Row],[Patente]])=7,ISNUMBER(VALUE(MID(Tabla1[[#This Row],[Patente]],3,3))))</f>
        <v>1</v>
      </c>
      <c r="F18" s="3" t="b">
        <f>AND(LEN(Tabla1[[#This Row],[Patente]])=7,ISNUMBER(VALUE(MID(Tabla1[[#This Row],[Patente]],3,3))))</f>
        <v>0</v>
      </c>
      <c r="G18" s="3" t="b">
        <f>OR(LEN(Tabla1[[#This Row],[Patente]])=7,ISNUMBER(VALUE(MID(Tabla1[[#This Row],[Patente]],3,3))))</f>
        <v>1</v>
      </c>
    </row>
    <row r="19" spans="1:7">
      <c r="A19" s="3" t="s">
        <v>36</v>
      </c>
      <c r="B19" s="3" t="s">
        <v>37</v>
      </c>
      <c r="C19" s="3">
        <v>2021</v>
      </c>
      <c r="D19" s="3" t="s">
        <v>38</v>
      </c>
      <c r="E19" s="3" t="b">
        <f>_xlfn.XOR(LEN(Tabla1[[#This Row],[Patente]])=7,ISNUMBER(VALUE(MID(Tabla1[[#This Row],[Patente]],3,3))))</f>
        <v>0</v>
      </c>
      <c r="F19" s="3" t="b">
        <f>AND(LEN(Tabla1[[#This Row],[Patente]])=7,ISNUMBER(VALUE(MID(Tabla1[[#This Row],[Patente]],3,3))))</f>
        <v>1</v>
      </c>
      <c r="G19" s="3" t="b">
        <f>OR(LEN(Tabla1[[#This Row],[Patente]])=7,ISNUMBER(VALUE(MID(Tabla1[[#This Row],[Patente]],3,3))))</f>
        <v>1</v>
      </c>
    </row>
    <row r="20" spans="1:7">
      <c r="A20" s="3" t="s">
        <v>39</v>
      </c>
      <c r="B20" s="3" t="s">
        <v>40</v>
      </c>
      <c r="C20" s="3">
        <v>2018</v>
      </c>
      <c r="D20" s="3" t="s">
        <v>41</v>
      </c>
      <c r="E20" s="3" t="b">
        <f>_xlfn.XOR(LEN(Tabla1[[#This Row],[Patente]])=7,ISNUMBER(VALUE(MID(Tabla1[[#This Row],[Patente]],3,3))))</f>
        <v>0</v>
      </c>
      <c r="F20" s="3" t="b">
        <f>AND(LEN(Tabla1[[#This Row],[Patente]])=7,ISNUMBER(VALUE(MID(Tabla1[[#This Row],[Patente]],3,3))))</f>
        <v>1</v>
      </c>
      <c r="G20" s="3" t="b">
        <f>OR(LEN(Tabla1[[#This Row],[Patente]])=7,ISNUMBER(VALUE(MID(Tabla1[[#This Row],[Patente]],3,3))))</f>
        <v>1</v>
      </c>
    </row>
    <row r="21" spans="1:7" ht="28.5">
      <c r="A21" s="3" t="s">
        <v>42</v>
      </c>
      <c r="B21" s="3" t="s">
        <v>43</v>
      </c>
      <c r="C21" s="3">
        <v>2022</v>
      </c>
      <c r="D21" s="3" t="s">
        <v>70</v>
      </c>
      <c r="E21" s="3" t="b">
        <f>_xlfn.XOR(LEN(Tabla1[[#This Row],[Patente]])=7,ISNUMBER(VALUE(MID(Tabla1[[#This Row],[Patente]],3,3))))</f>
        <v>1</v>
      </c>
      <c r="F21" s="3" t="b">
        <f>AND(LEN(Tabla1[[#This Row],[Patente]])=7,ISNUMBER(VALUE(MID(Tabla1[[#This Row],[Patente]],3,3))))</f>
        <v>0</v>
      </c>
      <c r="G21" s="3" t="b">
        <f>OR(LEN(Tabla1[[#This Row],[Patente]])=7,ISNUMBER(VALUE(MID(Tabla1[[#This Row],[Patente]],3,3))))</f>
        <v>1</v>
      </c>
    </row>
    <row r="22" spans="1:7">
      <c r="A22" s="3" t="s">
        <v>44</v>
      </c>
      <c r="B22" s="3" t="s">
        <v>45</v>
      </c>
      <c r="C22" s="3">
        <v>2023</v>
      </c>
      <c r="D22" s="3" t="s">
        <v>46</v>
      </c>
      <c r="E22" s="3" t="b">
        <f>_xlfn.XOR(LEN(Tabla1[[#This Row],[Patente]])=7,ISNUMBER(VALUE(MID(Tabla1[[#This Row],[Patente]],3,3))))</f>
        <v>0</v>
      </c>
      <c r="F22" s="3" t="b">
        <f>AND(LEN(Tabla1[[#This Row],[Patente]])=7,ISNUMBER(VALUE(MID(Tabla1[[#This Row],[Patente]],3,3))))</f>
        <v>1</v>
      </c>
      <c r="G22" s="3" t="b">
        <f>OR(LEN(Tabla1[[#This Row],[Patente]])=7,ISNUMBER(VALUE(MID(Tabla1[[#This Row],[Patente]],3,3))))</f>
        <v>1</v>
      </c>
    </row>
    <row r="23" spans="1:7">
      <c r="A23" s="3" t="s">
        <v>47</v>
      </c>
      <c r="B23" s="3" t="s">
        <v>48</v>
      </c>
      <c r="C23" s="3">
        <v>2020</v>
      </c>
      <c r="D23" s="3" t="s">
        <v>49</v>
      </c>
      <c r="E23" s="3" t="b">
        <f>_xlfn.XOR(LEN(Tabla1[[#This Row],[Patente]])=7,ISNUMBER(VALUE(MID(Tabla1[[#This Row],[Patente]],3,3))))</f>
        <v>0</v>
      </c>
      <c r="F23" s="3" t="b">
        <f>AND(LEN(Tabla1[[#This Row],[Patente]])=7,ISNUMBER(VALUE(MID(Tabla1[[#This Row],[Patente]],3,3))))</f>
        <v>1</v>
      </c>
      <c r="G23" s="3" t="b">
        <f>OR(LEN(Tabla1[[#This Row],[Patente]])=7,ISNUMBER(VALUE(MID(Tabla1[[#This Row],[Patente]],3,3))))</f>
        <v>1</v>
      </c>
    </row>
    <row r="24" spans="1:7">
      <c r="A24" s="3" t="s">
        <v>50</v>
      </c>
      <c r="B24" s="3" t="s">
        <v>51</v>
      </c>
      <c r="C24" s="3">
        <v>2021</v>
      </c>
      <c r="D24" s="3" t="s">
        <v>65</v>
      </c>
      <c r="E24" s="3" t="b">
        <f>_xlfn.XOR(LEN(Tabla1[[#This Row],[Patente]])=7,ISNUMBER(VALUE(MID(Tabla1[[#This Row],[Patente]],3,3))))</f>
        <v>1</v>
      </c>
      <c r="F24" s="3" t="b">
        <f>AND(LEN(Tabla1[[#This Row],[Patente]])=7,ISNUMBER(VALUE(MID(Tabla1[[#This Row],[Patente]],3,3))))</f>
        <v>0</v>
      </c>
      <c r="G24" s="3" t="b">
        <f>OR(LEN(Tabla1[[#This Row],[Patente]])=7,ISNUMBER(VALUE(MID(Tabla1[[#This Row],[Patente]],3,3))))</f>
        <v>1</v>
      </c>
    </row>
    <row r="25" spans="1:7">
      <c r="A25" s="3" t="s">
        <v>52</v>
      </c>
      <c r="B25" s="3" t="s">
        <v>53</v>
      </c>
      <c r="C25" s="3">
        <v>2019</v>
      </c>
      <c r="D25" s="3" t="s">
        <v>54</v>
      </c>
      <c r="E25" s="3" t="b">
        <f>_xlfn.XOR(LEN(Tabla1[[#This Row],[Patente]])=7,ISNUMBER(VALUE(MID(Tabla1[[#This Row],[Patente]],3,3))))</f>
        <v>0</v>
      </c>
      <c r="F25" s="3" t="b">
        <f>AND(LEN(Tabla1[[#This Row],[Patente]])=7,ISNUMBER(VALUE(MID(Tabla1[[#This Row],[Patente]],3,3))))</f>
        <v>1</v>
      </c>
      <c r="G25" s="3" t="b">
        <f>OR(LEN(Tabla1[[#This Row],[Patente]])=7,ISNUMBER(VALUE(MID(Tabla1[[#This Row],[Patente]],3,3))))</f>
        <v>1</v>
      </c>
    </row>
    <row r="26" spans="1:7">
      <c r="A26" s="3" t="s">
        <v>55</v>
      </c>
      <c r="B26" s="3" t="s">
        <v>56</v>
      </c>
      <c r="C26" s="3">
        <v>2018</v>
      </c>
      <c r="D26" s="3" t="s">
        <v>57</v>
      </c>
      <c r="E26" s="3" t="b">
        <f>_xlfn.XOR(LEN(Tabla1[[#This Row],[Patente]])=7,ISNUMBER(VALUE(MID(Tabla1[[#This Row],[Patente]],3,3))))</f>
        <v>0</v>
      </c>
      <c r="F26" s="3" t="b">
        <f>AND(LEN(Tabla1[[#This Row],[Patente]])=7,ISNUMBER(VALUE(MID(Tabla1[[#This Row],[Patente]],3,3))))</f>
        <v>1</v>
      </c>
      <c r="G26" s="3" t="b">
        <f>OR(LEN(Tabla1[[#This Row],[Patente]])=7,ISNUMBER(VALUE(MID(Tabla1[[#This Row],[Patente]],3,3))))</f>
        <v>1</v>
      </c>
    </row>
    <row r="27" spans="1:7">
      <c r="A27" s="3" t="s">
        <v>58</v>
      </c>
      <c r="B27" s="3" t="s">
        <v>59</v>
      </c>
      <c r="C27" s="3">
        <v>2022</v>
      </c>
      <c r="D27" s="3" t="s">
        <v>60</v>
      </c>
      <c r="E27" s="3" t="b">
        <f>_xlfn.XOR(LEN(Tabla1[[#This Row],[Patente]])=7,ISNUMBER(VALUE(MID(Tabla1[[#This Row],[Patente]],3,3))))</f>
        <v>0</v>
      </c>
      <c r="F27" s="3" t="b">
        <f>AND(LEN(Tabla1[[#This Row],[Patente]])=7,ISNUMBER(VALUE(MID(Tabla1[[#This Row],[Patente]],3,3))))</f>
        <v>1</v>
      </c>
      <c r="G27" s="3" t="b">
        <f>OR(LEN(Tabla1[[#This Row],[Patente]])=7,ISNUMBER(VALUE(MID(Tabla1[[#This Row],[Patente]],3,3))))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D6" sqref="D6"/>
    </sheetView>
  </sheetViews>
  <sheetFormatPr baseColWidth="10" defaultColWidth="9.125" defaultRowHeight="14.25"/>
  <cols>
    <col min="1" max="1" width="9.25" customWidth="1"/>
    <col min="2" max="2" width="22.5" customWidth="1"/>
    <col min="3" max="3" width="19.75" customWidth="1"/>
    <col min="4" max="4" width="23.25" customWidth="1"/>
  </cols>
  <sheetData>
    <row r="1" spans="1:4" ht="18">
      <c r="A1" s="9" t="s">
        <v>96</v>
      </c>
      <c r="B1" s="1"/>
    </row>
    <row r="3" spans="1:4" ht="15">
      <c r="A3" s="8" t="s">
        <v>95</v>
      </c>
    </row>
    <row r="5" spans="1:4" ht="15">
      <c r="A5" s="7" t="s">
        <v>94</v>
      </c>
      <c r="B5" s="7" t="s">
        <v>93</v>
      </c>
      <c r="C5" s="7" t="s">
        <v>92</v>
      </c>
      <c r="D5" s="7" t="s">
        <v>91</v>
      </c>
    </row>
    <row r="6" spans="1:4">
      <c r="A6" t="s">
        <v>5</v>
      </c>
      <c r="B6" t="b">
        <f>FALSE()</f>
        <v>0</v>
      </c>
      <c r="C6" t="b">
        <f>TRUE()</f>
        <v>1</v>
      </c>
    </row>
    <row r="7" spans="1:4">
      <c r="A7" t="s">
        <v>1</v>
      </c>
      <c r="B7" t="b">
        <f>TRUE()</f>
        <v>1</v>
      </c>
      <c r="C7" t="b">
        <f>TRUE()</f>
        <v>1</v>
      </c>
    </row>
    <row r="8" spans="1:4">
      <c r="A8" t="s">
        <v>6</v>
      </c>
      <c r="B8" t="b">
        <f>FALSE()</f>
        <v>0</v>
      </c>
      <c r="C8" t="b">
        <f>FALSE()</f>
        <v>0</v>
      </c>
    </row>
    <row r="9" spans="1:4">
      <c r="A9" t="s">
        <v>90</v>
      </c>
      <c r="B9" t="b">
        <f>FALSE()</f>
        <v>0</v>
      </c>
      <c r="C9" t="b">
        <f>FALSE()</f>
        <v>0</v>
      </c>
    </row>
    <row r="10" spans="1:4">
      <c r="A10" t="s">
        <v>89</v>
      </c>
      <c r="B10" t="b">
        <f>TRUE()</f>
        <v>1</v>
      </c>
      <c r="C10" t="b">
        <f>FALSE()</f>
        <v>0</v>
      </c>
    </row>
    <row r="11" spans="1:4">
      <c r="A11" t="s">
        <v>7</v>
      </c>
      <c r="B11" t="b">
        <f>TRUE()</f>
        <v>1</v>
      </c>
      <c r="C11" t="b">
        <f>TRUE()</f>
        <v>1</v>
      </c>
    </row>
    <row r="12" spans="1:4">
      <c r="A12" t="s">
        <v>88</v>
      </c>
      <c r="B12" t="b">
        <f>TRUE()</f>
        <v>1</v>
      </c>
      <c r="C12" t="b">
        <f>TRUE()</f>
        <v>1</v>
      </c>
    </row>
    <row r="13" spans="1:4">
      <c r="A13" t="s">
        <v>87</v>
      </c>
      <c r="B13" t="b">
        <f>FALSE()</f>
        <v>0</v>
      </c>
      <c r="C13" t="b">
        <f>TRUE()</f>
        <v>1</v>
      </c>
    </row>
    <row r="14" spans="1:4">
      <c r="A14" t="s">
        <v>86</v>
      </c>
      <c r="B14" t="b">
        <f>TRUE()</f>
        <v>1</v>
      </c>
      <c r="C14" t="b">
        <f>FALSE()</f>
        <v>0</v>
      </c>
    </row>
    <row r="15" spans="1:4">
      <c r="A15" t="s">
        <v>3</v>
      </c>
      <c r="B15" t="b">
        <f>TRUE()</f>
        <v>1</v>
      </c>
      <c r="C15" t="b">
        <f>FALSE()</f>
        <v>0</v>
      </c>
    </row>
    <row r="16" spans="1:4">
      <c r="A16" t="s">
        <v>85</v>
      </c>
      <c r="B16" t="b">
        <f>FALSE()</f>
        <v>0</v>
      </c>
      <c r="C16" t="b">
        <f>FALSE()</f>
        <v>0</v>
      </c>
    </row>
    <row r="17" spans="1:4">
      <c r="A17" t="s">
        <v>84</v>
      </c>
      <c r="B17" t="b">
        <f>FALSE()</f>
        <v>0</v>
      </c>
      <c r="C17" t="b">
        <f>TRUE()</f>
        <v>1</v>
      </c>
    </row>
    <row r="18" spans="1:4">
      <c r="A18" t="s">
        <v>83</v>
      </c>
      <c r="B18" t="b">
        <f>TRUE()</f>
        <v>1</v>
      </c>
      <c r="C18" t="b">
        <f>TRUE()</f>
        <v>1</v>
      </c>
    </row>
    <row r="19" spans="1:4">
      <c r="A19" t="s">
        <v>82</v>
      </c>
      <c r="B19" t="b">
        <f>FALSE()</f>
        <v>0</v>
      </c>
      <c r="C19" t="b">
        <f>FALSE()</f>
        <v>0</v>
      </c>
    </row>
    <row r="20" spans="1:4">
      <c r="A20" t="s">
        <v>81</v>
      </c>
      <c r="B20" t="b">
        <f>FALSE()</f>
        <v>0</v>
      </c>
      <c r="C20" t="b">
        <f>TRUE()</f>
        <v>1</v>
      </c>
    </row>
    <row r="21" spans="1:4">
      <c r="A21" t="s">
        <v>80</v>
      </c>
      <c r="B21" t="b">
        <f>FALSE()</f>
        <v>0</v>
      </c>
      <c r="C21" t="b">
        <f>FALSE()</f>
        <v>0</v>
      </c>
    </row>
    <row r="22" spans="1:4">
      <c r="A22" t="s">
        <v>79</v>
      </c>
      <c r="B22" t="b">
        <f>TRUE()</f>
        <v>1</v>
      </c>
      <c r="C22" t="b">
        <f>TRUE()</f>
        <v>1</v>
      </c>
    </row>
    <row r="23" spans="1:4">
      <c r="A23" t="s">
        <v>78</v>
      </c>
      <c r="B23" t="b">
        <f>TRUE()</f>
        <v>1</v>
      </c>
      <c r="C23" t="b">
        <f>TRUE()</f>
        <v>1</v>
      </c>
    </row>
    <row r="24" spans="1:4">
      <c r="A24" t="s">
        <v>77</v>
      </c>
      <c r="B24" t="b">
        <f>FALSE()</f>
        <v>0</v>
      </c>
      <c r="C24" t="b">
        <f>FALSE()</f>
        <v>0</v>
      </c>
    </row>
    <row r="25" spans="1:4">
      <c r="A25" t="s">
        <v>76</v>
      </c>
      <c r="B25" t="b">
        <f>TRUE()</f>
        <v>1</v>
      </c>
      <c r="C25" t="b">
        <f>TRUE()</f>
        <v>1</v>
      </c>
    </row>
    <row r="29" spans="1:4">
      <c r="B29" s="19" t="s">
        <v>75</v>
      </c>
      <c r="C29" s="20"/>
      <c r="D29" s="21"/>
    </row>
    <row r="30" spans="1:4">
      <c r="B30" s="22"/>
      <c r="C30" s="23"/>
      <c r="D30" s="24"/>
    </row>
  </sheetData>
  <mergeCells count="1">
    <mergeCell ref="B29:D30"/>
  </mergeCells>
  <pageMargins left="0.7" right="0.7" top="0.75" bottom="0.75" header="0.3" footer="0.3"/>
  <ignoredErrors>
    <ignoredError sqref="B7 B13 B18 B24:C24 C21 C19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SIFECHA</vt:lpstr>
      <vt:lpstr>Frac.año</vt:lpstr>
      <vt:lpstr>DIAS</vt:lpstr>
      <vt:lpstr>Dias.Lab</vt:lpstr>
      <vt:lpstr>FUNCION XO</vt:lpstr>
      <vt:lpstr>Funcion NO con 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2025-06-28T21:53:25Z</dcterms:created>
  <dcterms:modified xsi:type="dcterms:W3CDTF">2026-08-01T13:03:01Z</dcterms:modified>
</cp:coreProperties>
</file>