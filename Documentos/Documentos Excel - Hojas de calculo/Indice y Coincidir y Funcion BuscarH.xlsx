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34455" yWindow="7590" windowWidth="23250" windowHeight="12450"/>
  </bookViews>
  <sheets>
    <sheet name="Indice y Coincidir y BuscarH" sheetId="30" r:id="rId1"/>
    <sheet name="FUNCION XO" sheetId="25" state="hidden" r:id="rId2"/>
    <sheet name="Funcion NO con Y" sheetId="28" state="hidden" r:id="rId3"/>
  </sheets>
  <definedNames>
    <definedName name="Cantidad">#REF!</definedName>
    <definedName name="Mes">#REF!</definedName>
    <definedName name="Sales">#REF!</definedName>
    <definedName name="Tipo">#REF!</definedName>
    <definedName name="Vendedor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8" l="1"/>
  <c r="C6" i="28"/>
  <c r="B7" i="28"/>
  <c r="C7" i="28"/>
  <c r="B8" i="28"/>
  <c r="C8" i="28"/>
  <c r="B9" i="28"/>
  <c r="C9" i="28"/>
  <c r="B10" i="28"/>
  <c r="C10" i="28"/>
  <c r="B11" i="28"/>
  <c r="C11" i="28"/>
  <c r="B12" i="28"/>
  <c r="C12" i="28"/>
  <c r="B13" i="28"/>
  <c r="C13" i="28"/>
  <c r="B14" i="28"/>
  <c r="C14" i="28"/>
  <c r="B15" i="28"/>
  <c r="C15" i="28"/>
  <c r="B16" i="28"/>
  <c r="C16" i="28"/>
  <c r="B17" i="28"/>
  <c r="C17" i="28"/>
  <c r="B18" i="28"/>
  <c r="C18" i="28"/>
  <c r="B19" i="28"/>
  <c r="C19" i="28"/>
  <c r="B20" i="28"/>
  <c r="C20" i="28"/>
  <c r="B21" i="28"/>
  <c r="C21" i="28"/>
  <c r="B22" i="28"/>
  <c r="C22" i="28"/>
  <c r="B23" i="28"/>
  <c r="C23" i="28"/>
  <c r="B24" i="28"/>
  <c r="C24" i="28"/>
  <c r="B25" i="28"/>
  <c r="C25" i="28"/>
  <c r="G8" i="25" l="1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F8" i="25"/>
  <c r="F9" i="25"/>
  <c r="F10" i="25"/>
  <c r="F11" i="25"/>
  <c r="F12" i="25"/>
  <c r="F13" i="25"/>
  <c r="F14" i="25"/>
  <c r="F15" i="25"/>
  <c r="F16" i="25"/>
  <c r="F17" i="25"/>
  <c r="F18" i="25"/>
  <c r="F19" i="25"/>
  <c r="F20" i="25"/>
  <c r="F21" i="25"/>
  <c r="F22" i="25"/>
  <c r="F23" i="25"/>
  <c r="F24" i="25"/>
  <c r="F25" i="25"/>
  <c r="F26" i="25"/>
  <c r="F2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</calcChain>
</file>

<file path=xl/sharedStrings.xml><?xml version="1.0" encoding="utf-8"?>
<sst xmlns="http://schemas.openxmlformats.org/spreadsheetml/2006/main" count="258" uniqueCount="206">
  <si>
    <t>Año</t>
  </si>
  <si>
    <t>Ana</t>
  </si>
  <si>
    <t>Lucía</t>
  </si>
  <si>
    <t>Juan</t>
  </si>
  <si>
    <t>Pedro</t>
  </si>
  <si>
    <t>Sofía</t>
  </si>
  <si>
    <t>Estado</t>
  </si>
  <si>
    <t>Marca</t>
  </si>
  <si>
    <t>Modelo</t>
  </si>
  <si>
    <t>Patente</t>
  </si>
  <si>
    <t>Toyota</t>
  </si>
  <si>
    <t>Corolla</t>
  </si>
  <si>
    <t>Volkswagen</t>
  </si>
  <si>
    <t>Golf</t>
  </si>
  <si>
    <t>Ford</t>
  </si>
  <si>
    <t>Focus</t>
  </si>
  <si>
    <t>AC789GH</t>
  </si>
  <si>
    <t>Chevrolet</t>
  </si>
  <si>
    <t>Cruze</t>
  </si>
  <si>
    <t>AD234IJ</t>
  </si>
  <si>
    <t>Renault</t>
  </si>
  <si>
    <t>Sandero</t>
  </si>
  <si>
    <t>Peugeot</t>
  </si>
  <si>
    <t>Honda</t>
  </si>
  <si>
    <t>Civic</t>
  </si>
  <si>
    <t>Nissan</t>
  </si>
  <si>
    <t>Versa</t>
  </si>
  <si>
    <t>AD654QR</t>
  </si>
  <si>
    <t>Fiat</t>
  </si>
  <si>
    <t>Cronos</t>
  </si>
  <si>
    <t>Hyundai</t>
  </si>
  <si>
    <t>Tucson</t>
  </si>
  <si>
    <t>Kia</t>
  </si>
  <si>
    <t>Rio</t>
  </si>
  <si>
    <t>Citroën</t>
  </si>
  <si>
    <t>C4</t>
  </si>
  <si>
    <t>AE876YZ</t>
  </si>
  <si>
    <t>BMW</t>
  </si>
  <si>
    <t>Serie 3</t>
  </si>
  <si>
    <t>AB654AC</t>
  </si>
  <si>
    <t>Mercedes-Benz</t>
  </si>
  <si>
    <t>Clase A</t>
  </si>
  <si>
    <t>Audi</t>
  </si>
  <si>
    <t>A3</t>
  </si>
  <si>
    <t>AF765CE</t>
  </si>
  <si>
    <t>Jeep</t>
  </si>
  <si>
    <t>Renegade</t>
  </si>
  <si>
    <t>AD432DF</t>
  </si>
  <si>
    <t>Suzuki</t>
  </si>
  <si>
    <t>Swift</t>
  </si>
  <si>
    <t>Mazda</t>
  </si>
  <si>
    <t>CX-5</t>
  </si>
  <si>
    <t>AC999FH</t>
  </si>
  <si>
    <t>Mitsubishi</t>
  </si>
  <si>
    <t>Lancer</t>
  </si>
  <si>
    <t>AB555GI</t>
  </si>
  <si>
    <t>Volvo</t>
  </si>
  <si>
    <t>XC40</t>
  </si>
  <si>
    <t>AE808HJ</t>
  </si>
  <si>
    <t>AEI23CD</t>
  </si>
  <si>
    <t>AB567KI</t>
  </si>
  <si>
    <t>AA32I0P</t>
  </si>
  <si>
    <t>AF2I0UV</t>
  </si>
  <si>
    <t>AE2I0EG</t>
  </si>
  <si>
    <t>AE9875T</t>
  </si>
  <si>
    <t>AF456EFF</t>
  </si>
  <si>
    <t>AE890MII</t>
  </si>
  <si>
    <t>AC543KKK</t>
  </si>
  <si>
    <t>AE098VBD</t>
  </si>
  <si>
    <t>XO</t>
  </si>
  <si>
    <t>Y</t>
  </si>
  <si>
    <t>O</t>
  </si>
  <si>
    <t xml:space="preserve">FUNCION XO </t>
  </si>
  <si>
    <t>Notese que VERDADERO y FALSO tambien se pueden escribir como funciones</t>
  </si>
  <si>
    <t>Julieta</t>
  </si>
  <si>
    <t>Pablo</t>
  </si>
  <si>
    <t>Camila</t>
  </si>
  <si>
    <t>Rodrigo</t>
  </si>
  <si>
    <t>Florencia</t>
  </si>
  <si>
    <t>Sebastián</t>
  </si>
  <si>
    <t>Martina</t>
  </si>
  <si>
    <t>Nicolás</t>
  </si>
  <si>
    <t>Valeria</t>
  </si>
  <si>
    <t>Gonzalo</t>
  </si>
  <si>
    <t>Tomás</t>
  </si>
  <si>
    <t>Leo</t>
  </si>
  <si>
    <t>Carla</t>
  </si>
  <si>
    <t>Marcos</t>
  </si>
  <si>
    <t>Laura</t>
  </si>
  <si>
    <t>Enviar recordatorio de pago</t>
  </si>
  <si>
    <t>Factura vencida</t>
  </si>
  <si>
    <t>Pago realiozado</t>
  </si>
  <si>
    <t>Nombre</t>
  </si>
  <si>
    <t>A quién hay que enviarle un recordatorio</t>
  </si>
  <si>
    <t>Funcion NO con Y</t>
  </si>
  <si>
    <t>Indice y Coincidir</t>
  </si>
  <si>
    <r>
      <rPr>
        <b/>
        <sz val="12"/>
        <rFont val="Calibri"/>
        <family val="2"/>
      </rPr>
      <t>Número de pieza</t>
    </r>
  </si>
  <si>
    <r>
      <rPr>
        <b/>
        <sz val="12"/>
        <rFont val="Calibri"/>
        <family val="2"/>
      </rPr>
      <t>Nombre de pieza</t>
    </r>
  </si>
  <si>
    <r>
      <rPr>
        <b/>
        <sz val="12"/>
        <rFont val="Calibri"/>
        <family val="2"/>
      </rPr>
      <t>Precio de pieza</t>
    </r>
  </si>
  <si>
    <r>
      <rPr>
        <b/>
        <sz val="12"/>
        <rFont val="Calibri"/>
        <family val="2"/>
      </rPr>
      <t>Estado</t>
    </r>
  </si>
  <si>
    <t>Nombre de pieza</t>
  </si>
  <si>
    <t>A001</t>
  </si>
  <si>
    <r>
      <rPr>
        <sz val="11"/>
        <rFont val="Calibri"/>
        <family val="2"/>
      </rPr>
      <t>bomba de agua</t>
    </r>
  </si>
  <si>
    <r>
      <rPr>
        <sz val="11"/>
        <rFont val="Calibri"/>
        <family val="2"/>
      </rPr>
      <t>En existencias</t>
    </r>
  </si>
  <si>
    <r>
      <rPr>
        <b/>
        <sz val="10"/>
        <rFont val="Arial"/>
        <family val="2"/>
      </rPr>
      <t>Número de pieza</t>
    </r>
  </si>
  <si>
    <t>A002</t>
  </si>
  <si>
    <r>
      <rPr>
        <sz val="11"/>
        <rFont val="Calibri"/>
        <family val="2"/>
      </rPr>
      <t>alternador</t>
    </r>
  </si>
  <si>
    <t>Precio de pieza</t>
  </si>
  <si>
    <t>A003</t>
  </si>
  <si>
    <r>
      <rPr>
        <sz val="11"/>
        <rFont val="Calibri"/>
        <family val="2"/>
      </rPr>
      <t>filtro de aire</t>
    </r>
  </si>
  <si>
    <t>A004</t>
  </si>
  <si>
    <r>
      <rPr>
        <sz val="11"/>
        <rFont val="Calibri"/>
        <family val="2"/>
      </rPr>
      <t>cojinete de rueda</t>
    </r>
  </si>
  <si>
    <t>A005</t>
  </si>
  <si>
    <r>
      <rPr>
        <sz val="11"/>
        <rFont val="Calibri"/>
        <family val="2"/>
      </rPr>
      <t>amortiguador</t>
    </r>
  </si>
  <si>
    <t>A006</t>
  </si>
  <si>
    <r>
      <rPr>
        <sz val="11"/>
        <rFont val="Calibri"/>
        <family val="2"/>
      </rPr>
      <t>cárter de aceite</t>
    </r>
  </si>
  <si>
    <r>
      <rPr>
        <sz val="11"/>
        <rFont val="Calibri"/>
        <family val="2"/>
      </rPr>
      <t>Sin existencias</t>
    </r>
  </si>
  <si>
    <t>A007</t>
  </si>
  <si>
    <r>
      <rPr>
        <sz val="11"/>
        <rFont val="Calibri"/>
        <family val="2"/>
      </rPr>
      <t>pastillas de frenos</t>
    </r>
  </si>
  <si>
    <t>A008</t>
  </si>
  <si>
    <r>
      <rPr>
        <sz val="11"/>
        <rFont val="Calibri"/>
        <family val="2"/>
      </rPr>
      <t>rotores de frenos</t>
    </r>
  </si>
  <si>
    <t>A009</t>
  </si>
  <si>
    <r>
      <rPr>
        <sz val="11"/>
        <rFont val="Calibri"/>
        <family val="2"/>
      </rPr>
      <t>faro frontal</t>
    </r>
  </si>
  <si>
    <t>A010</t>
  </si>
  <si>
    <r>
      <rPr>
        <sz val="11"/>
        <rFont val="Calibri"/>
        <family val="2"/>
      </rPr>
      <t>cable de freno</t>
    </r>
  </si>
  <si>
    <t>A011</t>
  </si>
  <si>
    <r>
      <rPr>
        <sz val="11"/>
        <rFont val="Calibri"/>
        <family val="2"/>
      </rPr>
      <t>Montante</t>
    </r>
  </si>
  <si>
    <t>A012</t>
  </si>
  <si>
    <r>
      <rPr>
        <sz val="11"/>
        <rFont val="Calibri"/>
        <family val="2"/>
      </rPr>
      <t>Eje de transmisión</t>
    </r>
  </si>
  <si>
    <t>A013</t>
  </si>
  <si>
    <r>
      <rPr>
        <sz val="11"/>
        <rFont val="Calibri"/>
        <family val="2"/>
      </rPr>
      <t>Kit de manguitos</t>
    </r>
  </si>
  <si>
    <t>BuscarH</t>
  </si>
  <si>
    <t>A014</t>
  </si>
  <si>
    <r>
      <rPr>
        <sz val="11"/>
        <rFont val="Calibri"/>
        <family val="2"/>
      </rPr>
      <t>Bomba de aceite</t>
    </r>
  </si>
  <si>
    <t>A015</t>
  </si>
  <si>
    <r>
      <rPr>
        <sz val="11"/>
        <rFont val="Calibri"/>
        <family val="2"/>
      </rPr>
      <t>Filtro de aceite</t>
    </r>
  </si>
  <si>
    <t>A016</t>
  </si>
  <si>
    <r>
      <rPr>
        <sz val="11"/>
        <rFont val="Calibri"/>
        <family val="2"/>
      </rPr>
      <t>Filtro de combustible</t>
    </r>
  </si>
  <si>
    <t>A017</t>
  </si>
  <si>
    <r>
      <rPr>
        <sz val="11"/>
        <rFont val="Calibri"/>
        <family val="2"/>
      </rPr>
      <t>Extremo de biela</t>
    </r>
  </si>
  <si>
    <t>A018</t>
  </si>
  <si>
    <r>
      <rPr>
        <sz val="11"/>
        <rFont val="Calibri"/>
        <family val="2"/>
      </rPr>
      <t>Junta esférica</t>
    </r>
  </si>
  <si>
    <t>A019</t>
  </si>
  <si>
    <r>
      <rPr>
        <sz val="11"/>
        <rFont val="Calibri"/>
        <family val="2"/>
      </rPr>
      <t>Cremallera de dirección</t>
    </r>
  </si>
  <si>
    <t>A020</t>
  </si>
  <si>
    <r>
      <rPr>
        <sz val="11"/>
        <rFont val="Calibri"/>
        <family val="2"/>
      </rPr>
      <t>Pistón</t>
    </r>
  </si>
  <si>
    <t>A021</t>
  </si>
  <si>
    <r>
      <rPr>
        <sz val="11"/>
        <rFont val="Calibri"/>
        <family val="2"/>
      </rPr>
      <t>Aros de pistón</t>
    </r>
  </si>
  <si>
    <t>A022</t>
  </si>
  <si>
    <r>
      <rPr>
        <sz val="11"/>
        <rFont val="Calibri"/>
        <family val="2"/>
      </rPr>
      <t>Juego de juntas de culata</t>
    </r>
  </si>
  <si>
    <t>A023</t>
  </si>
  <si>
    <r>
      <rPr>
        <sz val="11"/>
        <rFont val="Calibri"/>
        <family val="2"/>
      </rPr>
      <t>Bomba de combustible</t>
    </r>
  </si>
  <si>
    <t>A024</t>
  </si>
  <si>
    <r>
      <rPr>
        <sz val="11"/>
        <rFont val="Calibri"/>
        <family val="2"/>
      </rPr>
      <t>Tulipa</t>
    </r>
  </si>
  <si>
    <t>A025</t>
  </si>
  <si>
    <r>
      <rPr>
        <sz val="11"/>
        <rFont val="Calibri"/>
        <family val="2"/>
      </rPr>
      <t>Intermitente</t>
    </r>
  </si>
  <si>
    <t>A026</t>
  </si>
  <si>
    <r>
      <rPr>
        <sz val="11"/>
        <rFont val="Calibri"/>
        <family val="2"/>
      </rPr>
      <t>Fusibles</t>
    </r>
  </si>
  <si>
    <t>A027</t>
  </si>
  <si>
    <r>
      <rPr>
        <sz val="11"/>
        <rFont val="Calibri"/>
        <family val="2"/>
      </rPr>
      <t>Amortiguador</t>
    </r>
  </si>
  <si>
    <t>A028</t>
  </si>
  <si>
    <r>
      <rPr>
        <sz val="11"/>
        <rFont val="Calibri"/>
        <family val="2"/>
      </rPr>
      <t>Cable del tacómetro</t>
    </r>
  </si>
  <si>
    <t>A029</t>
  </si>
  <si>
    <r>
      <rPr>
        <sz val="11"/>
        <rFont val="Calibri"/>
        <family val="2"/>
      </rPr>
      <t>Tuerca de rueda</t>
    </r>
  </si>
  <si>
    <t>A030</t>
  </si>
  <si>
    <r>
      <rPr>
        <sz val="11"/>
        <rFont val="Calibri"/>
        <family val="2"/>
      </rPr>
      <t>Kit de embrague</t>
    </r>
  </si>
  <si>
    <t>A031</t>
  </si>
  <si>
    <r>
      <rPr>
        <sz val="11"/>
        <rFont val="Calibri"/>
        <family val="2"/>
      </rPr>
      <t>Guías de válvulas</t>
    </r>
  </si>
  <si>
    <t>A032</t>
  </si>
  <si>
    <r>
      <rPr>
        <sz val="11"/>
        <rFont val="Calibri"/>
        <family val="2"/>
      </rPr>
      <t>Sellos de válvula</t>
    </r>
  </si>
  <si>
    <t>A033</t>
  </si>
  <si>
    <r>
      <rPr>
        <sz val="11"/>
        <rFont val="Calibri"/>
        <family val="2"/>
      </rPr>
      <t>Bomba de dirección asistida</t>
    </r>
  </si>
  <si>
    <t>A034</t>
  </si>
  <si>
    <r>
      <rPr>
        <sz val="11"/>
        <rFont val="Calibri"/>
        <family val="2"/>
      </rPr>
      <t>Bomba de A/A</t>
    </r>
  </si>
  <si>
    <t>A035</t>
  </si>
  <si>
    <r>
      <rPr>
        <sz val="11"/>
        <rFont val="Calibri"/>
        <family val="2"/>
      </rPr>
      <t>Manguera de freno</t>
    </r>
  </si>
  <si>
    <t>A036</t>
  </si>
  <si>
    <r>
      <rPr>
        <sz val="11"/>
        <rFont val="Calibri"/>
        <family val="2"/>
      </rPr>
      <t>Radiador</t>
    </r>
  </si>
  <si>
    <t>A037</t>
  </si>
  <si>
    <r>
      <rPr>
        <sz val="11"/>
        <rFont val="Calibri"/>
        <family val="2"/>
      </rPr>
      <t>Manguera de radiador</t>
    </r>
  </si>
  <si>
    <t>A038</t>
  </si>
  <si>
    <r>
      <rPr>
        <sz val="11"/>
        <rFont val="Calibri"/>
        <family val="2"/>
      </rPr>
      <t>Barra de tracción</t>
    </r>
  </si>
  <si>
    <t>A039</t>
  </si>
  <si>
    <r>
      <rPr>
        <sz val="11"/>
        <rFont val="Calibri"/>
        <family val="2"/>
      </rPr>
      <t>Parachoques</t>
    </r>
  </si>
  <si>
    <t>A040</t>
  </si>
  <si>
    <r>
      <rPr>
        <sz val="11"/>
        <rFont val="Calibri"/>
        <family val="2"/>
      </rPr>
      <t>Retrovisor</t>
    </r>
  </si>
  <si>
    <t>A041</t>
  </si>
  <si>
    <r>
      <rPr>
        <sz val="11"/>
        <rFont val="Calibri"/>
        <family val="2"/>
      </rPr>
      <t>Guardabarros</t>
    </r>
  </si>
  <si>
    <t>A042</t>
  </si>
  <si>
    <r>
      <rPr>
        <sz val="11"/>
        <rFont val="Calibri"/>
        <family val="2"/>
      </rPr>
      <t>Rejilla</t>
    </r>
  </si>
  <si>
    <t>A043</t>
  </si>
  <si>
    <r>
      <rPr>
        <sz val="11"/>
        <rFont val="Calibri"/>
        <family val="2"/>
      </rPr>
      <t>Luz de indicación</t>
    </r>
  </si>
  <si>
    <t>A044</t>
  </si>
  <si>
    <r>
      <rPr>
        <sz val="11"/>
        <rFont val="Calibri"/>
        <family val="2"/>
      </rPr>
      <t>Tapacubos</t>
    </r>
  </si>
  <si>
    <t>A045</t>
  </si>
  <si>
    <r>
      <rPr>
        <sz val="11"/>
        <rFont val="Calibri"/>
        <family val="2"/>
      </rPr>
      <t>Tubo de escape</t>
    </r>
  </si>
  <si>
    <t>A046</t>
  </si>
  <si>
    <r>
      <rPr>
        <sz val="11"/>
        <rFont val="Calibri"/>
        <family val="2"/>
      </rPr>
      <t>Soporte de tubo de escape</t>
    </r>
  </si>
  <si>
    <t>A047</t>
  </si>
  <si>
    <r>
      <rPr>
        <sz val="11"/>
        <rFont val="Calibri"/>
        <family val="2"/>
      </rPr>
      <t>Tapón de drenaje de motor</t>
    </r>
  </si>
  <si>
    <t>A048</t>
  </si>
  <si>
    <r>
      <rPr>
        <sz val="11"/>
        <rFont val="Calibri"/>
        <family val="2"/>
      </rPr>
      <t>Cárter de aceite</t>
    </r>
  </si>
  <si>
    <t>A049</t>
  </si>
  <si>
    <r>
      <rPr>
        <sz val="11"/>
        <rFont val="Calibri"/>
        <family val="2"/>
      </rPr>
      <t>Junta de cárter de aceite</t>
    </r>
  </si>
  <si>
    <t>A050</t>
  </si>
  <si>
    <r>
      <rPr>
        <sz val="11"/>
        <rFont val="Calibri"/>
        <family val="2"/>
      </rPr>
      <t>Correa del ventilador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</si>
</sst>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&quot;$&quot;#,##0.00_);\(&quot;$&quot;#,##0.00\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b/>
      <sz val="12"/>
      <name val="Calibri"/>
      <family val="2"/>
    </font>
    <font>
      <b/>
      <sz val="1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 tint="0.39997558519241921"/>
      </right>
      <top style="thin">
        <color theme="9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/>
      </bottom>
      <diagonal/>
    </border>
    <border>
      <left/>
      <right/>
      <top style="thin">
        <color theme="9" tint="0.39997558519241921"/>
      </top>
      <bottom style="thin">
        <color theme="9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1" fillId="0" borderId="0"/>
  </cellStyleXfs>
  <cellXfs count="4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top"/>
    </xf>
    <xf numFmtId="0" fontId="2" fillId="0" borderId="0" xfId="0" applyFont="1"/>
    <xf numFmtId="0" fontId="4" fillId="2" borderId="0" xfId="0" applyFont="1" applyFill="1"/>
    <xf numFmtId="0" fontId="5" fillId="0" borderId="0" xfId="2" applyAlignment="1">
      <alignment horizontal="center" vertical="center"/>
    </xf>
    <xf numFmtId="0" fontId="6" fillId="3" borderId="12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/>
    </xf>
    <xf numFmtId="0" fontId="6" fillId="3" borderId="14" xfId="2" applyFont="1" applyFill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164" fontId="0" fillId="0" borderId="11" xfId="3" applyFont="1" applyBorder="1" applyAlignment="1">
      <alignment horizontal="center" vertical="center"/>
    </xf>
    <xf numFmtId="0" fontId="9" fillId="4" borderId="12" xfId="4" applyFont="1" applyFill="1" applyBorder="1" applyAlignment="1">
      <alignment horizontal="center" vertical="center"/>
    </xf>
    <xf numFmtId="0" fontId="9" fillId="4" borderId="13" xfId="2" applyFont="1" applyFill="1" applyBorder="1" applyAlignment="1">
      <alignment horizontal="center" vertical="center"/>
    </xf>
    <xf numFmtId="165" fontId="9" fillId="4" borderId="13" xfId="3" applyNumberFormat="1" applyFont="1" applyFill="1" applyBorder="1" applyAlignment="1">
      <alignment horizontal="center" vertical="center"/>
    </xf>
    <xf numFmtId="0" fontId="9" fillId="4" borderId="14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165" fontId="9" fillId="0" borderId="3" xfId="3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4" borderId="2" xfId="4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/>
    </xf>
    <xf numFmtId="165" fontId="9" fillId="4" borderId="3" xfId="3" applyNumberFormat="1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5" fillId="0" borderId="2" xfId="4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5" fillId="4" borderId="2" xfId="4" applyFill="1" applyBorder="1" applyAlignment="1">
      <alignment horizontal="center" vertical="center"/>
    </xf>
    <xf numFmtId="0" fontId="10" fillId="4" borderId="3" xfId="2" applyFont="1" applyFill="1" applyBorder="1" applyAlignment="1">
      <alignment horizontal="center" vertical="center"/>
    </xf>
    <xf numFmtId="165" fontId="10" fillId="0" borderId="3" xfId="3" applyNumberFormat="1" applyFont="1" applyBorder="1" applyAlignment="1">
      <alignment horizontal="center" vertical="center"/>
    </xf>
    <xf numFmtId="165" fontId="0" fillId="0" borderId="3" xfId="3" applyNumberFormat="1" applyFont="1" applyBorder="1" applyAlignment="1">
      <alignment horizontal="center" vertical="center"/>
    </xf>
    <xf numFmtId="165" fontId="0" fillId="4" borderId="3" xfId="3" applyNumberFormat="1" applyFont="1" applyFill="1" applyBorder="1" applyAlignment="1">
      <alignment horizontal="center" vertical="center"/>
    </xf>
    <xf numFmtId="165" fontId="10" fillId="4" borderId="3" xfId="5" applyNumberFormat="1" applyFont="1" applyFill="1" applyBorder="1" applyAlignment="1">
      <alignment horizontal="center" vertical="center"/>
    </xf>
    <xf numFmtId="165" fontId="5" fillId="0" borderId="3" xfId="5" applyNumberFormat="1" applyBorder="1" applyAlignment="1">
      <alignment horizontal="center" vertical="center"/>
    </xf>
    <xf numFmtId="165" fontId="5" fillId="4" borderId="3" xfId="5" applyNumberFormat="1" applyFill="1" applyBorder="1" applyAlignment="1">
      <alignment horizontal="center" vertical="center"/>
    </xf>
    <xf numFmtId="165" fontId="10" fillId="0" borderId="3" xfId="5" applyNumberFormat="1" applyFont="1" applyBorder="1" applyAlignment="1">
      <alignment horizontal="center" vertical="center"/>
    </xf>
    <xf numFmtId="0" fontId="5" fillId="0" borderId="15" xfId="4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165" fontId="5" fillId="0" borderId="16" xfId="5" applyNumberForma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5" fillId="5" borderId="1" xfId="2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7">
    <cellStyle name="Currency 2 3" xfId="3"/>
    <cellStyle name="Moneda 2" xfId="1"/>
    <cellStyle name="Normal" xfId="0" builtinId="0"/>
    <cellStyle name="Normal 2" xfId="2"/>
    <cellStyle name="Normal 2 2" xfId="4"/>
    <cellStyle name="Normal 2 3" xfId="5"/>
    <cellStyle name="Normal 3" xfId="6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/>
  </tableStyles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650875</xdr:colOff>
      <xdr:row>0</xdr:row>
      <xdr:rowOff>142875</xdr:rowOff>
    </xdr:from>
    <xdr:to>
      <xdr:col>9</xdr:col>
      <xdr:colOff>603250</xdr:colOff>
      <xdr:row>12</xdr:row>
      <xdr:rowOff>55563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B3861AAC-85AB-4436-ADE5-6B3077A031E0}"/>
            </a:ext>
          </a:extLst>
        </xdr:cNvPr>
        <xdr:cNvSpPr/>
      </xdr:nvSpPr>
      <xdr:spPr>
        <a:xfrm>
          <a:off x="10715625" y="142875"/>
          <a:ext cx="2365375" cy="277018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1) Hacer Lista Desplegable en Nombre de la Pieza,</a:t>
          </a:r>
          <a:r>
            <a:rPr lang="es-AR" sz="1100" baseline="0"/>
            <a:t> llendo a Datos --&gt; Validacion de datos</a:t>
          </a:r>
          <a:endParaRPr lang="es-AR" sz="1100"/>
        </a:p>
        <a:p>
          <a:pPr algn="l"/>
          <a:endParaRPr lang="es-AR" sz="1100"/>
        </a:p>
        <a:p>
          <a:pPr algn="l"/>
          <a:r>
            <a:rPr lang="es-AR" sz="1100"/>
            <a:t>2) Completar</a:t>
          </a:r>
          <a:r>
            <a:rPr lang="es-AR" sz="1100" baseline="0"/>
            <a:t> con las distintas formulas los cuadros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En la primer tabla tenemos que hacer un indice y dentro 2 coindicir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En la segunda tabla un BuscarH y dentro un coincidir.</a:t>
          </a:r>
          <a:endParaRPr lang="es-AR" sz="1100"/>
        </a:p>
        <a:p>
          <a:pPr algn="l"/>
          <a:endParaRPr lang="es-AR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A7:G27" totalsRowShown="0" headerRowDxfId="11" dataDxfId="10">
  <autoFilter ref="A7:G27"/>
  <tableColumns count="7">
    <tableColumn id="1" name="Marca" dataDxfId="9"/>
    <tableColumn id="2" name="Modelo" dataDxfId="8"/>
    <tableColumn id="3" name="Año" dataDxfId="7"/>
    <tableColumn id="4" name="Patente" dataDxfId="6"/>
    <tableColumn id="5" name="XO" dataDxfId="5">
      <calculatedColumnFormula>_xlfn.XOR(LEN(Tabla1[[#This Row],[Patente]])=7,ISNUMBER(VALUE(MID(Tabla1[[#This Row],[Patente]],3,3))))</calculatedColumnFormula>
    </tableColumn>
    <tableColumn id="6" name="Y" dataDxfId="4">
      <calculatedColumnFormula>AND(LEN(Tabla1[[#This Row],[Patente]])=7,ISNUMBER(VALUE(MID(Tabla1[[#This Row],[Patente]],3,3))))</calculatedColumnFormula>
    </tableColumn>
    <tableColumn id="7" name="O" dataDxfId="3">
      <calculatedColumnFormula>OR(LEN(Tabla1[[#This Row],[Patente]])=7,ISNUMBER(VALUE(MID(Tabla1[[#This Row],[Patente]],3,3))))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5:D25" totalsRowShown="0" headerRowDxfId="2" headerRowBorderDxfId="1" tableBorderDxfId="0">
  <autoFilter ref="A5:D25"/>
  <tableColumns count="4">
    <tableColumn id="1" name="Nombre"/>
    <tableColumn id="2" name="Pago realiozado"/>
    <tableColumn id="3" name="Factura vencida"/>
    <tableColumn id="4" name="Enviar recordatorio de pag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tabSelected="1" zoomScale="120" zoomScaleNormal="120" workbookViewId="0">
      <selection activeCell="H18" sqref="H18"/>
    </sheetView>
  </sheetViews>
  <sheetFormatPr baseColWidth="10" defaultColWidth="15.875" defaultRowHeight="18.75" customHeight="1"/>
  <cols>
    <col min="1" max="1" width="19.75" style="8" customWidth="1"/>
    <col min="2" max="2" width="23.625" style="8" customWidth="1"/>
    <col min="3" max="3" width="17.875" style="8" customWidth="1"/>
    <col min="4" max="4" width="17.75" style="8" customWidth="1"/>
    <col min="5" max="5" width="15.875" style="8" customWidth="1"/>
    <col min="6" max="6" width="18.375" style="8" customWidth="1"/>
    <col min="7" max="7" width="18.875" style="8" customWidth="1"/>
    <col min="8" max="8" width="15.875" style="8" customWidth="1"/>
    <col min="9" max="16384" width="15.875" style="8"/>
  </cols>
  <sheetData>
    <row r="1" spans="1:7" ht="18.75" customHeight="1">
      <c r="F1" s="42" t="s">
        <v>95</v>
      </c>
      <c r="G1" s="42"/>
    </row>
    <row r="2" spans="1:7" ht="18.75" customHeight="1">
      <c r="A2" s="9" t="s">
        <v>96</v>
      </c>
      <c r="B2" s="10" t="s">
        <v>97</v>
      </c>
      <c r="C2" s="10" t="s">
        <v>98</v>
      </c>
      <c r="D2" s="11" t="s">
        <v>99</v>
      </c>
      <c r="F2" s="12" t="s">
        <v>100</v>
      </c>
      <c r="G2" s="13"/>
    </row>
    <row r="3" spans="1:7" ht="18.75" customHeight="1">
      <c r="A3" s="14" t="s">
        <v>101</v>
      </c>
      <c r="B3" s="15" t="s">
        <v>102</v>
      </c>
      <c r="C3" s="16">
        <v>68.39</v>
      </c>
      <c r="D3" s="17" t="s">
        <v>103</v>
      </c>
      <c r="F3" s="12" t="s">
        <v>104</v>
      </c>
      <c r="G3" s="18"/>
    </row>
    <row r="4" spans="1:7" ht="18.75" customHeight="1">
      <c r="A4" s="19" t="s">
        <v>105</v>
      </c>
      <c r="B4" s="20" t="s">
        <v>106</v>
      </c>
      <c r="C4" s="21">
        <v>380.73</v>
      </c>
      <c r="D4" s="22" t="s">
        <v>103</v>
      </c>
      <c r="F4" s="12" t="s">
        <v>107</v>
      </c>
      <c r="G4" s="18"/>
    </row>
    <row r="5" spans="1:7" ht="18.75" customHeight="1">
      <c r="A5" s="23" t="s">
        <v>108</v>
      </c>
      <c r="B5" s="24" t="s">
        <v>109</v>
      </c>
      <c r="C5" s="25">
        <v>15.49</v>
      </c>
      <c r="D5" s="26" t="s">
        <v>103</v>
      </c>
      <c r="F5" s="12" t="s">
        <v>6</v>
      </c>
      <c r="G5" s="18"/>
    </row>
    <row r="6" spans="1:7" ht="18.75" customHeight="1">
      <c r="A6" s="19" t="s">
        <v>110</v>
      </c>
      <c r="B6" s="20" t="s">
        <v>111</v>
      </c>
      <c r="C6" s="21">
        <v>35.159999999999997</v>
      </c>
      <c r="D6" s="22" t="s">
        <v>103</v>
      </c>
    </row>
    <row r="7" spans="1:7" ht="18.75" customHeight="1">
      <c r="A7" s="23" t="s">
        <v>112</v>
      </c>
      <c r="B7" s="24" t="s">
        <v>113</v>
      </c>
      <c r="C7" s="25">
        <v>160.22999999999999</v>
      </c>
      <c r="D7" s="26" t="s">
        <v>103</v>
      </c>
      <c r="F7"/>
      <c r="G7"/>
    </row>
    <row r="8" spans="1:7" ht="18.75" customHeight="1">
      <c r="A8" s="19" t="s">
        <v>114</v>
      </c>
      <c r="B8" s="20" t="s">
        <v>115</v>
      </c>
      <c r="C8" s="21">
        <v>101.89</v>
      </c>
      <c r="D8" s="22" t="s">
        <v>116</v>
      </c>
    </row>
    <row r="9" spans="1:7" ht="18.75" customHeight="1">
      <c r="A9" s="23" t="s">
        <v>117</v>
      </c>
      <c r="B9" s="24" t="s">
        <v>118</v>
      </c>
      <c r="C9" s="25">
        <v>65.989999999999995</v>
      </c>
      <c r="D9" s="26" t="s">
        <v>103</v>
      </c>
      <c r="F9" s="42" t="s">
        <v>131</v>
      </c>
      <c r="G9" s="42"/>
    </row>
    <row r="10" spans="1:7" ht="18.75" customHeight="1">
      <c r="A10" s="19" t="s">
        <v>119</v>
      </c>
      <c r="B10" s="20" t="s">
        <v>120</v>
      </c>
      <c r="C10" s="21">
        <v>85.73</v>
      </c>
      <c r="D10" s="22" t="s">
        <v>116</v>
      </c>
      <c r="F10" s="12" t="s">
        <v>100</v>
      </c>
      <c r="G10" s="13"/>
    </row>
    <row r="11" spans="1:7" ht="18.75" customHeight="1">
      <c r="A11" s="23" t="s">
        <v>121</v>
      </c>
      <c r="B11" s="24" t="s">
        <v>122</v>
      </c>
      <c r="C11" s="25">
        <v>35.19</v>
      </c>
      <c r="D11" s="26" t="s">
        <v>103</v>
      </c>
      <c r="F11" s="12" t="s">
        <v>104</v>
      </c>
      <c r="G11" s="18"/>
    </row>
    <row r="12" spans="1:7" ht="18.75" customHeight="1">
      <c r="A12" s="19" t="s">
        <v>123</v>
      </c>
      <c r="B12" s="20" t="s">
        <v>124</v>
      </c>
      <c r="C12" s="21">
        <v>15.49</v>
      </c>
      <c r="D12" s="22" t="s">
        <v>103</v>
      </c>
      <c r="F12" s="12" t="s">
        <v>107</v>
      </c>
      <c r="G12" s="18"/>
    </row>
    <row r="13" spans="1:7" ht="18.75" customHeight="1">
      <c r="A13" s="23" t="s">
        <v>125</v>
      </c>
      <c r="B13" s="24" t="s">
        <v>126</v>
      </c>
      <c r="C13" s="25">
        <v>45.29</v>
      </c>
      <c r="D13" s="26" t="s">
        <v>103</v>
      </c>
      <c r="F13" s="12" t="s">
        <v>6</v>
      </c>
      <c r="G13" s="18"/>
    </row>
    <row r="14" spans="1:7" ht="18.75" customHeight="1">
      <c r="A14" s="19" t="s">
        <v>127</v>
      </c>
      <c r="B14" s="20" t="s">
        <v>128</v>
      </c>
      <c r="C14" s="21">
        <v>185.36</v>
      </c>
      <c r="D14" s="22" t="s">
        <v>103</v>
      </c>
    </row>
    <row r="15" spans="1:7" ht="18.75" customHeight="1">
      <c r="A15" s="23" t="s">
        <v>129</v>
      </c>
      <c r="B15" s="24" t="s">
        <v>130</v>
      </c>
      <c r="C15" s="25">
        <v>26.27</v>
      </c>
      <c r="D15" s="26" t="s">
        <v>103</v>
      </c>
    </row>
    <row r="16" spans="1:7" ht="18.75" customHeight="1">
      <c r="A16" s="19" t="s">
        <v>132</v>
      </c>
      <c r="B16" s="20" t="s">
        <v>133</v>
      </c>
      <c r="C16" s="21">
        <v>46.99</v>
      </c>
      <c r="D16" s="22" t="s">
        <v>103</v>
      </c>
    </row>
    <row r="17" spans="1:7" ht="18.75" customHeight="1">
      <c r="A17" s="23" t="s">
        <v>134</v>
      </c>
      <c r="B17" s="24" t="s">
        <v>135</v>
      </c>
      <c r="C17" s="25">
        <v>4.3899999999999997</v>
      </c>
      <c r="D17" s="26" t="s">
        <v>103</v>
      </c>
    </row>
    <row r="18" spans="1:7" ht="18.75" customHeight="1">
      <c r="A18" s="19" t="s">
        <v>136</v>
      </c>
      <c r="B18" s="20" t="s">
        <v>137</v>
      </c>
      <c r="C18" s="21">
        <v>12.89</v>
      </c>
      <c r="D18" s="22" t="s">
        <v>103</v>
      </c>
    </row>
    <row r="19" spans="1:7" ht="18.75" customHeight="1">
      <c r="A19" s="23" t="s">
        <v>138</v>
      </c>
      <c r="B19" s="24" t="s">
        <v>139</v>
      </c>
      <c r="C19" s="25">
        <v>18.73</v>
      </c>
      <c r="D19" s="26" t="s">
        <v>103</v>
      </c>
    </row>
    <row r="20" spans="1:7" ht="18.75" customHeight="1">
      <c r="A20" s="19" t="s">
        <v>140</v>
      </c>
      <c r="B20" s="20" t="s">
        <v>141</v>
      </c>
      <c r="C20" s="21">
        <v>24.18</v>
      </c>
      <c r="D20" s="22" t="s">
        <v>103</v>
      </c>
    </row>
    <row r="21" spans="1:7" ht="18.75" customHeight="1">
      <c r="A21" s="23" t="s">
        <v>142</v>
      </c>
      <c r="B21" s="24" t="s">
        <v>143</v>
      </c>
      <c r="C21" s="25">
        <v>285.33</v>
      </c>
      <c r="D21" s="26" t="s">
        <v>116</v>
      </c>
      <c r="F21"/>
      <c r="G21"/>
    </row>
    <row r="22" spans="1:7" ht="18.75" customHeight="1">
      <c r="A22" s="19" t="s">
        <v>144</v>
      </c>
      <c r="B22" s="20" t="s">
        <v>145</v>
      </c>
      <c r="C22" s="21">
        <v>45.99</v>
      </c>
      <c r="D22" s="22" t="s">
        <v>116</v>
      </c>
      <c r="F22"/>
      <c r="G22"/>
    </row>
    <row r="23" spans="1:7" ht="18.75" customHeight="1">
      <c r="A23" s="23" t="s">
        <v>146</v>
      </c>
      <c r="B23" s="24" t="s">
        <v>147</v>
      </c>
      <c r="C23" s="25">
        <v>65.78</v>
      </c>
      <c r="D23" s="26" t="s">
        <v>103</v>
      </c>
      <c r="F23"/>
      <c r="G23"/>
    </row>
    <row r="24" spans="1:7" ht="18.75" customHeight="1">
      <c r="A24" s="19" t="s">
        <v>148</v>
      </c>
      <c r="B24" s="20" t="s">
        <v>149</v>
      </c>
      <c r="C24" s="21">
        <v>145.63</v>
      </c>
      <c r="D24" s="22" t="s">
        <v>103</v>
      </c>
      <c r="F24"/>
      <c r="G24"/>
    </row>
    <row r="25" spans="1:7" ht="18.75" customHeight="1">
      <c r="A25" s="23" t="s">
        <v>150</v>
      </c>
      <c r="B25" s="24" t="s">
        <v>151</v>
      </c>
      <c r="C25" s="25">
        <v>136.43</v>
      </c>
      <c r="D25" s="26" t="s">
        <v>103</v>
      </c>
      <c r="F25"/>
      <c r="G25"/>
    </row>
    <row r="26" spans="1:7" ht="18.75" customHeight="1">
      <c r="A26" s="19" t="s">
        <v>152</v>
      </c>
      <c r="B26" s="20" t="s">
        <v>153</v>
      </c>
      <c r="C26" s="21">
        <v>45.19</v>
      </c>
      <c r="D26" s="22" t="s">
        <v>103</v>
      </c>
      <c r="F26"/>
      <c r="G26"/>
    </row>
    <row r="27" spans="1:7" ht="18.75" customHeight="1">
      <c r="A27" s="23" t="s">
        <v>154</v>
      </c>
      <c r="B27" s="24" t="s">
        <v>155</v>
      </c>
      <c r="C27" s="25">
        <v>6.53</v>
      </c>
      <c r="D27" s="26" t="s">
        <v>103</v>
      </c>
      <c r="F27"/>
      <c r="G27"/>
    </row>
    <row r="28" spans="1:7" ht="18.75" customHeight="1">
      <c r="A28" s="27" t="s">
        <v>156</v>
      </c>
      <c r="B28" s="28" t="s">
        <v>157</v>
      </c>
      <c r="C28" s="21">
        <v>8.2899999999999991</v>
      </c>
      <c r="D28" s="22" t="s">
        <v>103</v>
      </c>
      <c r="F28"/>
      <c r="G28"/>
    </row>
    <row r="29" spans="1:7" ht="18.75" customHeight="1">
      <c r="A29" s="29" t="s">
        <v>158</v>
      </c>
      <c r="B29" s="30" t="s">
        <v>159</v>
      </c>
      <c r="C29" s="25">
        <v>35.44</v>
      </c>
      <c r="D29" s="26" t="s">
        <v>103</v>
      </c>
      <c r="F29"/>
      <c r="G29"/>
    </row>
    <row r="30" spans="1:7" ht="18.75" customHeight="1">
      <c r="A30" s="27" t="s">
        <v>160</v>
      </c>
      <c r="B30" s="28" t="s">
        <v>161</v>
      </c>
      <c r="C30" s="31">
        <v>18.89</v>
      </c>
      <c r="D30" s="22" t="s">
        <v>103</v>
      </c>
      <c r="F30"/>
      <c r="G30"/>
    </row>
    <row r="31" spans="1:7" ht="18.75" customHeight="1">
      <c r="A31" s="29" t="s">
        <v>162</v>
      </c>
      <c r="B31" s="30" t="s">
        <v>163</v>
      </c>
      <c r="C31" s="25">
        <v>3.43</v>
      </c>
      <c r="D31" s="26" t="s">
        <v>103</v>
      </c>
      <c r="F31"/>
      <c r="G31"/>
    </row>
    <row r="32" spans="1:7" ht="18.75" customHeight="1">
      <c r="A32" s="27" t="s">
        <v>164</v>
      </c>
      <c r="B32" s="28" t="s">
        <v>165</v>
      </c>
      <c r="C32" s="32">
        <v>230.14</v>
      </c>
      <c r="D32" s="22" t="s">
        <v>103</v>
      </c>
      <c r="F32"/>
      <c r="G32"/>
    </row>
    <row r="33" spans="1:7" ht="18.75" customHeight="1">
      <c r="A33" s="29" t="s">
        <v>166</v>
      </c>
      <c r="B33" s="30" t="s">
        <v>167</v>
      </c>
      <c r="C33" s="33">
        <v>6.44</v>
      </c>
      <c r="D33" s="26" t="s">
        <v>103</v>
      </c>
      <c r="F33"/>
      <c r="G33"/>
    </row>
    <row r="34" spans="1:7" ht="18.75" customHeight="1">
      <c r="A34" s="27" t="s">
        <v>168</v>
      </c>
      <c r="B34" s="28" t="s">
        <v>169</v>
      </c>
      <c r="C34" s="32">
        <v>2.09</v>
      </c>
      <c r="D34" s="22" t="s">
        <v>103</v>
      </c>
      <c r="F34"/>
      <c r="G34"/>
    </row>
    <row r="35" spans="1:7" ht="18.75" customHeight="1">
      <c r="A35" s="29" t="s">
        <v>170</v>
      </c>
      <c r="B35" s="30" t="s">
        <v>171</v>
      </c>
      <c r="C35" s="34">
        <v>360.32</v>
      </c>
      <c r="D35" s="26" t="s">
        <v>103</v>
      </c>
    </row>
    <row r="36" spans="1:7" ht="18.75" customHeight="1">
      <c r="A36" s="27" t="s">
        <v>172</v>
      </c>
      <c r="B36" s="28" t="s">
        <v>173</v>
      </c>
      <c r="C36" s="35">
        <v>425.36</v>
      </c>
      <c r="D36" s="22" t="s">
        <v>103</v>
      </c>
    </row>
    <row r="37" spans="1:7" ht="18.75" customHeight="1">
      <c r="A37" s="29" t="s">
        <v>174</v>
      </c>
      <c r="B37" s="30" t="s">
        <v>175</v>
      </c>
      <c r="C37" s="36">
        <v>35.76</v>
      </c>
      <c r="D37" s="26" t="s">
        <v>103</v>
      </c>
    </row>
    <row r="38" spans="1:7" ht="18.75" customHeight="1">
      <c r="A38" s="27" t="s">
        <v>176</v>
      </c>
      <c r="B38" s="28" t="s">
        <v>177</v>
      </c>
      <c r="C38" s="35">
        <v>276.32</v>
      </c>
      <c r="D38" s="22" t="s">
        <v>116</v>
      </c>
    </row>
    <row r="39" spans="1:7" ht="18.75" customHeight="1">
      <c r="A39" s="29" t="s">
        <v>178</v>
      </c>
      <c r="B39" s="30" t="s">
        <v>179</v>
      </c>
      <c r="C39" s="36">
        <v>34.1</v>
      </c>
      <c r="D39" s="26" t="s">
        <v>103</v>
      </c>
    </row>
    <row r="40" spans="1:7" ht="18.75" customHeight="1">
      <c r="A40" s="27" t="s">
        <v>180</v>
      </c>
      <c r="B40" s="28" t="s">
        <v>181</v>
      </c>
      <c r="C40" s="35">
        <v>185.09</v>
      </c>
      <c r="D40" s="22" t="s">
        <v>103</v>
      </c>
    </row>
    <row r="41" spans="1:7" ht="18.75" customHeight="1">
      <c r="A41" s="29" t="s">
        <v>182</v>
      </c>
      <c r="B41" s="30" t="s">
        <v>183</v>
      </c>
      <c r="C41" s="36">
        <v>195.91</v>
      </c>
      <c r="D41" s="26" t="s">
        <v>103</v>
      </c>
    </row>
    <row r="42" spans="1:7" ht="18.75" customHeight="1">
      <c r="A42" s="27" t="s">
        <v>184</v>
      </c>
      <c r="B42" s="28" t="s">
        <v>185</v>
      </c>
      <c r="C42" s="37">
        <v>75.430000000000007</v>
      </c>
      <c r="D42" s="22" t="s">
        <v>103</v>
      </c>
    </row>
    <row r="43" spans="1:7" ht="18.75" customHeight="1">
      <c r="A43" s="29" t="s">
        <v>186</v>
      </c>
      <c r="B43" s="30" t="s">
        <v>187</v>
      </c>
      <c r="C43" s="36">
        <v>359.06</v>
      </c>
      <c r="D43" s="26" t="s">
        <v>103</v>
      </c>
    </row>
    <row r="44" spans="1:7" ht="18.75" customHeight="1">
      <c r="A44" s="27" t="s">
        <v>188</v>
      </c>
      <c r="B44" s="28" t="s">
        <v>189</v>
      </c>
      <c r="C44" s="35">
        <v>65.91</v>
      </c>
      <c r="D44" s="22" t="s">
        <v>103</v>
      </c>
    </row>
    <row r="45" spans="1:7" ht="18.75" customHeight="1">
      <c r="A45" s="29" t="s">
        <v>190</v>
      </c>
      <c r="B45" s="30" t="s">
        <v>191</v>
      </c>
      <c r="C45" s="36">
        <v>35.619999999999997</v>
      </c>
      <c r="D45" s="26" t="s">
        <v>103</v>
      </c>
    </row>
    <row r="46" spans="1:7" ht="18.75" customHeight="1">
      <c r="A46" s="27" t="s">
        <v>192</v>
      </c>
      <c r="B46" s="28" t="s">
        <v>193</v>
      </c>
      <c r="C46" s="35">
        <v>43.05</v>
      </c>
      <c r="D46" s="22" t="s">
        <v>103</v>
      </c>
    </row>
    <row r="47" spans="1:7" ht="18.75" customHeight="1">
      <c r="A47" s="29" t="s">
        <v>194</v>
      </c>
      <c r="B47" s="30" t="s">
        <v>195</v>
      </c>
      <c r="C47" s="36">
        <v>36.99</v>
      </c>
      <c r="D47" s="26" t="s">
        <v>103</v>
      </c>
    </row>
    <row r="48" spans="1:7" ht="18.75" customHeight="1">
      <c r="A48" s="27" t="s">
        <v>196</v>
      </c>
      <c r="B48" s="28" t="s">
        <v>197</v>
      </c>
      <c r="C48" s="37">
        <v>4.18</v>
      </c>
      <c r="D48" s="22" t="s">
        <v>103</v>
      </c>
    </row>
    <row r="49" spans="1:4" ht="18.75" customHeight="1">
      <c r="A49" s="29" t="s">
        <v>198</v>
      </c>
      <c r="B49" s="30" t="s">
        <v>199</v>
      </c>
      <c r="C49" s="34">
        <v>7.07</v>
      </c>
      <c r="D49" s="26" t="s">
        <v>103</v>
      </c>
    </row>
    <row r="50" spans="1:4" ht="18.75" customHeight="1">
      <c r="A50" s="27" t="s">
        <v>200</v>
      </c>
      <c r="B50" s="28" t="s">
        <v>201</v>
      </c>
      <c r="C50" s="35">
        <v>76.290000000000006</v>
      </c>
      <c r="D50" s="22" t="s">
        <v>103</v>
      </c>
    </row>
    <row r="51" spans="1:4" ht="18.75" customHeight="1">
      <c r="A51" s="29" t="s">
        <v>202</v>
      </c>
      <c r="B51" s="30" t="s">
        <v>203</v>
      </c>
      <c r="C51" s="36">
        <v>12.82</v>
      </c>
      <c r="D51" s="26" t="s">
        <v>103</v>
      </c>
    </row>
    <row r="52" spans="1:4" ht="18.75" customHeight="1">
      <c r="A52" s="38" t="s">
        <v>204</v>
      </c>
      <c r="B52" s="39" t="s">
        <v>205</v>
      </c>
      <c r="C52" s="40">
        <v>13.72</v>
      </c>
      <c r="D52" s="41" t="s">
        <v>103</v>
      </c>
    </row>
  </sheetData>
  <dataConsolidate/>
  <mergeCells count="2">
    <mergeCell ref="F1:G1"/>
    <mergeCell ref="F9:G9"/>
  </mergeCells>
  <dataValidations count="1">
    <dataValidation type="list" allowBlank="1" showInputMessage="1" showErrorMessage="1" sqref="G10 B3:B52 G2">
      <formula1>$B$3:$B$52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workbookViewId="0">
      <selection sqref="A1:XFD1048576"/>
    </sheetView>
  </sheetViews>
  <sheetFormatPr baseColWidth="10" defaultRowHeight="14.25"/>
  <cols>
    <col min="3" max="3" width="19.875" customWidth="1"/>
    <col min="4" max="4" width="23.375" customWidth="1"/>
    <col min="5" max="5" width="23.875" customWidth="1"/>
  </cols>
  <sheetData>
    <row r="2" spans="1:7" ht="30">
      <c r="A2" s="2" t="s">
        <v>72</v>
      </c>
      <c r="B2" s="2"/>
      <c r="C2" s="2"/>
      <c r="D2" s="1"/>
    </row>
    <row r="7" spans="1:7" ht="15">
      <c r="A7" s="4" t="s">
        <v>7</v>
      </c>
      <c r="B7" s="4" t="s">
        <v>8</v>
      </c>
      <c r="C7" s="4" t="s">
        <v>0</v>
      </c>
      <c r="D7" s="4" t="s">
        <v>9</v>
      </c>
      <c r="E7" s="4" t="s">
        <v>69</v>
      </c>
      <c r="F7" s="4" t="s">
        <v>70</v>
      </c>
      <c r="G7" s="4" t="s">
        <v>71</v>
      </c>
    </row>
    <row r="8" spans="1:7">
      <c r="A8" s="3" t="s">
        <v>10</v>
      </c>
      <c r="B8" s="3" t="s">
        <v>11</v>
      </c>
      <c r="C8" s="3">
        <v>2021</v>
      </c>
      <c r="D8" s="3" t="s">
        <v>59</v>
      </c>
      <c r="E8" s="3" t="b">
        <f>_xlfn.XOR(LEN(Tabla1[[#This Row],[Patente]])=7,ISNUMBER(VALUE(MID(Tabla1[[#This Row],[Patente]],3,3))))</f>
        <v>1</v>
      </c>
      <c r="F8" s="3" t="b">
        <f>AND(LEN(Tabla1[[#This Row],[Patente]])=7,ISNUMBER(VALUE(MID(Tabla1[[#This Row],[Patente]],3,3))))</f>
        <v>0</v>
      </c>
      <c r="G8" s="3" t="b">
        <f>OR(LEN(Tabla1[[#This Row],[Patente]])=7,ISNUMBER(VALUE(MID(Tabla1[[#This Row],[Patente]],3,3))))</f>
        <v>1</v>
      </c>
    </row>
    <row r="9" spans="1:7">
      <c r="A9" s="3" t="s">
        <v>12</v>
      </c>
      <c r="B9" s="3" t="s">
        <v>13</v>
      </c>
      <c r="C9" s="3">
        <v>2019</v>
      </c>
      <c r="D9" s="3" t="s">
        <v>65</v>
      </c>
      <c r="E9" s="3" t="b">
        <f>_xlfn.XOR(LEN(Tabla1[[#This Row],[Patente]])=7,ISNUMBER(VALUE(MID(Tabla1[[#This Row],[Patente]],3,3))))</f>
        <v>1</v>
      </c>
      <c r="F9" s="3" t="b">
        <f>AND(LEN(Tabla1[[#This Row],[Patente]])=7,ISNUMBER(VALUE(MID(Tabla1[[#This Row],[Patente]],3,3))))</f>
        <v>0</v>
      </c>
      <c r="G9" s="3" t="b">
        <f>OR(LEN(Tabla1[[#This Row],[Patente]])=7,ISNUMBER(VALUE(MID(Tabla1[[#This Row],[Patente]],3,3))))</f>
        <v>1</v>
      </c>
    </row>
    <row r="10" spans="1:7">
      <c r="A10" s="3" t="s">
        <v>14</v>
      </c>
      <c r="B10" s="3" t="s">
        <v>15</v>
      </c>
      <c r="C10" s="3">
        <v>2020</v>
      </c>
      <c r="D10" s="3" t="s">
        <v>16</v>
      </c>
      <c r="E10" s="3" t="b">
        <f>_xlfn.XOR(LEN(Tabla1[[#This Row],[Patente]])=7,ISNUMBER(VALUE(MID(Tabla1[[#This Row],[Patente]],3,3))))</f>
        <v>0</v>
      </c>
      <c r="F10" s="3" t="b">
        <f>AND(LEN(Tabla1[[#This Row],[Patente]])=7,ISNUMBER(VALUE(MID(Tabla1[[#This Row],[Patente]],3,3))))</f>
        <v>1</v>
      </c>
      <c r="G10" s="3" t="b">
        <f>OR(LEN(Tabla1[[#This Row],[Patente]])=7,ISNUMBER(VALUE(MID(Tabla1[[#This Row],[Patente]],3,3))))</f>
        <v>1</v>
      </c>
    </row>
    <row r="11" spans="1:7">
      <c r="A11" s="3" t="s">
        <v>17</v>
      </c>
      <c r="B11" s="3" t="s">
        <v>18</v>
      </c>
      <c r="C11" s="3">
        <v>2022</v>
      </c>
      <c r="D11" s="3" t="s">
        <v>19</v>
      </c>
      <c r="E11" s="3" t="b">
        <f>_xlfn.XOR(LEN(Tabla1[[#This Row],[Patente]])=7,ISNUMBER(VALUE(MID(Tabla1[[#This Row],[Patente]],3,3))))</f>
        <v>0</v>
      </c>
      <c r="F11" s="3" t="b">
        <f>AND(LEN(Tabla1[[#This Row],[Patente]])=7,ISNUMBER(VALUE(MID(Tabla1[[#This Row],[Patente]],3,3))))</f>
        <v>1</v>
      </c>
      <c r="G11" s="3" t="b">
        <f>OR(LEN(Tabla1[[#This Row],[Patente]])=7,ISNUMBER(VALUE(MID(Tabla1[[#This Row],[Patente]],3,3))))</f>
        <v>1</v>
      </c>
    </row>
    <row r="12" spans="1:7">
      <c r="A12" s="3" t="s">
        <v>20</v>
      </c>
      <c r="B12" s="3" t="s">
        <v>21</v>
      </c>
      <c r="C12" s="3">
        <v>2018</v>
      </c>
      <c r="D12" s="3" t="s">
        <v>60</v>
      </c>
      <c r="E12" s="3" t="b">
        <f>_xlfn.XOR(LEN(Tabla1[[#This Row],[Patente]])=7,ISNUMBER(VALUE(MID(Tabla1[[#This Row],[Patente]],3,3))))</f>
        <v>0</v>
      </c>
      <c r="F12" s="3" t="b">
        <f>AND(LEN(Tabla1[[#This Row],[Patente]])=7,ISNUMBER(VALUE(MID(Tabla1[[#This Row],[Patente]],3,3))))</f>
        <v>1</v>
      </c>
      <c r="G12" s="3" t="b">
        <f>OR(LEN(Tabla1[[#This Row],[Patente]])=7,ISNUMBER(VALUE(MID(Tabla1[[#This Row],[Patente]],3,3))))</f>
        <v>1</v>
      </c>
    </row>
    <row r="13" spans="1:7">
      <c r="A13" s="3" t="s">
        <v>22</v>
      </c>
      <c r="B13" s="3">
        <v>208</v>
      </c>
      <c r="C13" s="3">
        <v>2023</v>
      </c>
      <c r="D13" s="3" t="s">
        <v>66</v>
      </c>
      <c r="E13" s="3" t="b">
        <f>_xlfn.XOR(LEN(Tabla1[[#This Row],[Patente]])=7,ISNUMBER(VALUE(MID(Tabla1[[#This Row],[Patente]],3,3))))</f>
        <v>1</v>
      </c>
      <c r="F13" s="3" t="b">
        <f>AND(LEN(Tabla1[[#This Row],[Patente]])=7,ISNUMBER(VALUE(MID(Tabla1[[#This Row],[Patente]],3,3))))</f>
        <v>0</v>
      </c>
      <c r="G13" s="3" t="b">
        <f>OR(LEN(Tabla1[[#This Row],[Patente]])=7,ISNUMBER(VALUE(MID(Tabla1[[#This Row],[Patente]],3,3))))</f>
        <v>1</v>
      </c>
    </row>
    <row r="14" spans="1:7">
      <c r="A14" s="3" t="s">
        <v>23</v>
      </c>
      <c r="B14" s="3" t="s">
        <v>24</v>
      </c>
      <c r="C14" s="3">
        <v>2017</v>
      </c>
      <c r="D14" s="3" t="s">
        <v>61</v>
      </c>
      <c r="E14" s="3" t="b">
        <f>_xlfn.XOR(LEN(Tabla1[[#This Row],[Patente]])=7,ISNUMBER(VALUE(MID(Tabla1[[#This Row],[Patente]],3,3))))</f>
        <v>1</v>
      </c>
      <c r="F14" s="3" t="b">
        <f>AND(LEN(Tabla1[[#This Row],[Patente]])=7,ISNUMBER(VALUE(MID(Tabla1[[#This Row],[Patente]],3,3))))</f>
        <v>0</v>
      </c>
      <c r="G14" s="3" t="b">
        <f>OR(LEN(Tabla1[[#This Row],[Patente]])=7,ISNUMBER(VALUE(MID(Tabla1[[#This Row],[Patente]],3,3))))</f>
        <v>1</v>
      </c>
    </row>
    <row r="15" spans="1:7">
      <c r="A15" s="3" t="s">
        <v>25</v>
      </c>
      <c r="B15" s="3" t="s">
        <v>26</v>
      </c>
      <c r="C15" s="3">
        <v>2021</v>
      </c>
      <c r="D15" s="3" t="s">
        <v>27</v>
      </c>
      <c r="E15" s="3" t="b">
        <f>_xlfn.XOR(LEN(Tabla1[[#This Row],[Patente]])=7,ISNUMBER(VALUE(MID(Tabla1[[#This Row],[Patente]],3,3))))</f>
        <v>0</v>
      </c>
      <c r="F15" s="3" t="b">
        <f>AND(LEN(Tabla1[[#This Row],[Patente]])=7,ISNUMBER(VALUE(MID(Tabla1[[#This Row],[Patente]],3,3))))</f>
        <v>1</v>
      </c>
      <c r="G15" s="3" t="b">
        <f>OR(LEN(Tabla1[[#This Row],[Patente]])=7,ISNUMBER(VALUE(MID(Tabla1[[#This Row],[Patente]],3,3))))</f>
        <v>1</v>
      </c>
    </row>
    <row r="16" spans="1:7">
      <c r="A16" s="3" t="s">
        <v>28</v>
      </c>
      <c r="B16" s="3" t="s">
        <v>29</v>
      </c>
      <c r="C16" s="3">
        <v>2022</v>
      </c>
      <c r="D16" s="3" t="s">
        <v>64</v>
      </c>
      <c r="E16" s="3" t="b">
        <f>_xlfn.XOR(LEN(Tabla1[[#This Row],[Patente]])=7,ISNUMBER(VALUE(MID(Tabla1[[#This Row],[Patente]],3,3))))</f>
        <v>0</v>
      </c>
      <c r="F16" s="3" t="b">
        <f>AND(LEN(Tabla1[[#This Row],[Patente]])=7,ISNUMBER(VALUE(MID(Tabla1[[#This Row],[Patente]],3,3))))</f>
        <v>1</v>
      </c>
      <c r="G16" s="3" t="b">
        <f>OR(LEN(Tabla1[[#This Row],[Patente]])=7,ISNUMBER(VALUE(MID(Tabla1[[#This Row],[Patente]],3,3))))</f>
        <v>1</v>
      </c>
    </row>
    <row r="17" spans="1:7">
      <c r="A17" s="3" t="s">
        <v>30</v>
      </c>
      <c r="B17" s="3" t="s">
        <v>31</v>
      </c>
      <c r="C17" s="3">
        <v>2019</v>
      </c>
      <c r="D17" s="3" t="s">
        <v>62</v>
      </c>
      <c r="E17" s="3" t="b">
        <f>_xlfn.XOR(LEN(Tabla1[[#This Row],[Patente]])=7,ISNUMBER(VALUE(MID(Tabla1[[#This Row],[Patente]],3,3))))</f>
        <v>1</v>
      </c>
      <c r="F17" s="3" t="b">
        <f>AND(LEN(Tabla1[[#This Row],[Patente]])=7,ISNUMBER(VALUE(MID(Tabla1[[#This Row],[Patente]],3,3))))</f>
        <v>0</v>
      </c>
      <c r="G17" s="3" t="b">
        <f>OR(LEN(Tabla1[[#This Row],[Patente]])=7,ISNUMBER(VALUE(MID(Tabla1[[#This Row],[Patente]],3,3))))</f>
        <v>1</v>
      </c>
    </row>
    <row r="18" spans="1:7">
      <c r="A18" s="3" t="s">
        <v>32</v>
      </c>
      <c r="B18" s="3" t="s">
        <v>33</v>
      </c>
      <c r="C18" s="3">
        <v>2020</v>
      </c>
      <c r="D18" s="3" t="s">
        <v>67</v>
      </c>
      <c r="E18" s="3" t="b">
        <f>_xlfn.XOR(LEN(Tabla1[[#This Row],[Patente]])=7,ISNUMBER(VALUE(MID(Tabla1[[#This Row],[Patente]],3,3))))</f>
        <v>1</v>
      </c>
      <c r="F18" s="3" t="b">
        <f>AND(LEN(Tabla1[[#This Row],[Patente]])=7,ISNUMBER(VALUE(MID(Tabla1[[#This Row],[Patente]],3,3))))</f>
        <v>0</v>
      </c>
      <c r="G18" s="3" t="b">
        <f>OR(LEN(Tabla1[[#This Row],[Patente]])=7,ISNUMBER(VALUE(MID(Tabla1[[#This Row],[Patente]],3,3))))</f>
        <v>1</v>
      </c>
    </row>
    <row r="19" spans="1:7">
      <c r="A19" s="3" t="s">
        <v>34</v>
      </c>
      <c r="B19" s="3" t="s">
        <v>35</v>
      </c>
      <c r="C19" s="3">
        <v>2021</v>
      </c>
      <c r="D19" s="3" t="s">
        <v>36</v>
      </c>
      <c r="E19" s="3" t="b">
        <f>_xlfn.XOR(LEN(Tabla1[[#This Row],[Patente]])=7,ISNUMBER(VALUE(MID(Tabla1[[#This Row],[Patente]],3,3))))</f>
        <v>0</v>
      </c>
      <c r="F19" s="3" t="b">
        <f>AND(LEN(Tabla1[[#This Row],[Patente]])=7,ISNUMBER(VALUE(MID(Tabla1[[#This Row],[Patente]],3,3))))</f>
        <v>1</v>
      </c>
      <c r="G19" s="3" t="b">
        <f>OR(LEN(Tabla1[[#This Row],[Patente]])=7,ISNUMBER(VALUE(MID(Tabla1[[#This Row],[Patente]],3,3))))</f>
        <v>1</v>
      </c>
    </row>
    <row r="20" spans="1:7">
      <c r="A20" s="3" t="s">
        <v>37</v>
      </c>
      <c r="B20" s="3" t="s">
        <v>38</v>
      </c>
      <c r="C20" s="3">
        <v>2018</v>
      </c>
      <c r="D20" s="3" t="s">
        <v>39</v>
      </c>
      <c r="E20" s="3" t="b">
        <f>_xlfn.XOR(LEN(Tabla1[[#This Row],[Patente]])=7,ISNUMBER(VALUE(MID(Tabla1[[#This Row],[Patente]],3,3))))</f>
        <v>0</v>
      </c>
      <c r="F20" s="3" t="b">
        <f>AND(LEN(Tabla1[[#This Row],[Patente]])=7,ISNUMBER(VALUE(MID(Tabla1[[#This Row],[Patente]],3,3))))</f>
        <v>1</v>
      </c>
      <c r="G20" s="3" t="b">
        <f>OR(LEN(Tabla1[[#This Row],[Patente]])=7,ISNUMBER(VALUE(MID(Tabla1[[#This Row],[Patente]],3,3))))</f>
        <v>1</v>
      </c>
    </row>
    <row r="21" spans="1:7" ht="28.5">
      <c r="A21" s="3" t="s">
        <v>40</v>
      </c>
      <c r="B21" s="3" t="s">
        <v>41</v>
      </c>
      <c r="C21" s="3">
        <v>2022</v>
      </c>
      <c r="D21" s="3" t="s">
        <v>68</v>
      </c>
      <c r="E21" s="3" t="b">
        <f>_xlfn.XOR(LEN(Tabla1[[#This Row],[Patente]])=7,ISNUMBER(VALUE(MID(Tabla1[[#This Row],[Patente]],3,3))))</f>
        <v>1</v>
      </c>
      <c r="F21" s="3" t="b">
        <f>AND(LEN(Tabla1[[#This Row],[Patente]])=7,ISNUMBER(VALUE(MID(Tabla1[[#This Row],[Patente]],3,3))))</f>
        <v>0</v>
      </c>
      <c r="G21" s="3" t="b">
        <f>OR(LEN(Tabla1[[#This Row],[Patente]])=7,ISNUMBER(VALUE(MID(Tabla1[[#This Row],[Patente]],3,3))))</f>
        <v>1</v>
      </c>
    </row>
    <row r="22" spans="1:7">
      <c r="A22" s="3" t="s">
        <v>42</v>
      </c>
      <c r="B22" s="3" t="s">
        <v>43</v>
      </c>
      <c r="C22" s="3">
        <v>2023</v>
      </c>
      <c r="D22" s="3" t="s">
        <v>44</v>
      </c>
      <c r="E22" s="3" t="b">
        <f>_xlfn.XOR(LEN(Tabla1[[#This Row],[Patente]])=7,ISNUMBER(VALUE(MID(Tabla1[[#This Row],[Patente]],3,3))))</f>
        <v>0</v>
      </c>
      <c r="F22" s="3" t="b">
        <f>AND(LEN(Tabla1[[#This Row],[Patente]])=7,ISNUMBER(VALUE(MID(Tabla1[[#This Row],[Patente]],3,3))))</f>
        <v>1</v>
      </c>
      <c r="G22" s="3" t="b">
        <f>OR(LEN(Tabla1[[#This Row],[Patente]])=7,ISNUMBER(VALUE(MID(Tabla1[[#This Row],[Patente]],3,3))))</f>
        <v>1</v>
      </c>
    </row>
    <row r="23" spans="1:7">
      <c r="A23" s="3" t="s">
        <v>45</v>
      </c>
      <c r="B23" s="3" t="s">
        <v>46</v>
      </c>
      <c r="C23" s="3">
        <v>2020</v>
      </c>
      <c r="D23" s="3" t="s">
        <v>47</v>
      </c>
      <c r="E23" s="3" t="b">
        <f>_xlfn.XOR(LEN(Tabla1[[#This Row],[Patente]])=7,ISNUMBER(VALUE(MID(Tabla1[[#This Row],[Patente]],3,3))))</f>
        <v>0</v>
      </c>
      <c r="F23" s="3" t="b">
        <f>AND(LEN(Tabla1[[#This Row],[Patente]])=7,ISNUMBER(VALUE(MID(Tabla1[[#This Row],[Patente]],3,3))))</f>
        <v>1</v>
      </c>
      <c r="G23" s="3" t="b">
        <f>OR(LEN(Tabla1[[#This Row],[Patente]])=7,ISNUMBER(VALUE(MID(Tabla1[[#This Row],[Patente]],3,3))))</f>
        <v>1</v>
      </c>
    </row>
    <row r="24" spans="1:7">
      <c r="A24" s="3" t="s">
        <v>48</v>
      </c>
      <c r="B24" s="3" t="s">
        <v>49</v>
      </c>
      <c r="C24" s="3">
        <v>2021</v>
      </c>
      <c r="D24" s="3" t="s">
        <v>63</v>
      </c>
      <c r="E24" s="3" t="b">
        <f>_xlfn.XOR(LEN(Tabla1[[#This Row],[Patente]])=7,ISNUMBER(VALUE(MID(Tabla1[[#This Row],[Patente]],3,3))))</f>
        <v>1</v>
      </c>
      <c r="F24" s="3" t="b">
        <f>AND(LEN(Tabla1[[#This Row],[Patente]])=7,ISNUMBER(VALUE(MID(Tabla1[[#This Row],[Patente]],3,3))))</f>
        <v>0</v>
      </c>
      <c r="G24" s="3" t="b">
        <f>OR(LEN(Tabla1[[#This Row],[Patente]])=7,ISNUMBER(VALUE(MID(Tabla1[[#This Row],[Patente]],3,3))))</f>
        <v>1</v>
      </c>
    </row>
    <row r="25" spans="1:7">
      <c r="A25" s="3" t="s">
        <v>50</v>
      </c>
      <c r="B25" s="3" t="s">
        <v>51</v>
      </c>
      <c r="C25" s="3">
        <v>2019</v>
      </c>
      <c r="D25" s="3" t="s">
        <v>52</v>
      </c>
      <c r="E25" s="3" t="b">
        <f>_xlfn.XOR(LEN(Tabla1[[#This Row],[Patente]])=7,ISNUMBER(VALUE(MID(Tabla1[[#This Row],[Patente]],3,3))))</f>
        <v>0</v>
      </c>
      <c r="F25" s="3" t="b">
        <f>AND(LEN(Tabla1[[#This Row],[Patente]])=7,ISNUMBER(VALUE(MID(Tabla1[[#This Row],[Patente]],3,3))))</f>
        <v>1</v>
      </c>
      <c r="G25" s="3" t="b">
        <f>OR(LEN(Tabla1[[#This Row],[Patente]])=7,ISNUMBER(VALUE(MID(Tabla1[[#This Row],[Patente]],3,3))))</f>
        <v>1</v>
      </c>
    </row>
    <row r="26" spans="1:7">
      <c r="A26" s="3" t="s">
        <v>53</v>
      </c>
      <c r="B26" s="3" t="s">
        <v>54</v>
      </c>
      <c r="C26" s="3">
        <v>2018</v>
      </c>
      <c r="D26" s="3" t="s">
        <v>55</v>
      </c>
      <c r="E26" s="3" t="b">
        <f>_xlfn.XOR(LEN(Tabla1[[#This Row],[Patente]])=7,ISNUMBER(VALUE(MID(Tabla1[[#This Row],[Patente]],3,3))))</f>
        <v>0</v>
      </c>
      <c r="F26" s="3" t="b">
        <f>AND(LEN(Tabla1[[#This Row],[Patente]])=7,ISNUMBER(VALUE(MID(Tabla1[[#This Row],[Patente]],3,3))))</f>
        <v>1</v>
      </c>
      <c r="G26" s="3" t="b">
        <f>OR(LEN(Tabla1[[#This Row],[Patente]])=7,ISNUMBER(VALUE(MID(Tabla1[[#This Row],[Patente]],3,3))))</f>
        <v>1</v>
      </c>
    </row>
    <row r="27" spans="1:7">
      <c r="A27" s="3" t="s">
        <v>56</v>
      </c>
      <c r="B27" s="3" t="s">
        <v>57</v>
      </c>
      <c r="C27" s="3">
        <v>2022</v>
      </c>
      <c r="D27" s="3" t="s">
        <v>58</v>
      </c>
      <c r="E27" s="3" t="b">
        <f>_xlfn.XOR(LEN(Tabla1[[#This Row],[Patente]])=7,ISNUMBER(VALUE(MID(Tabla1[[#This Row],[Patente]],3,3))))</f>
        <v>0</v>
      </c>
      <c r="F27" s="3" t="b">
        <f>AND(LEN(Tabla1[[#This Row],[Patente]])=7,ISNUMBER(VALUE(MID(Tabla1[[#This Row],[Patente]],3,3))))</f>
        <v>1</v>
      </c>
      <c r="G27" s="3" t="b">
        <f>OR(LEN(Tabla1[[#This Row],[Patente]])=7,ISNUMBER(VALUE(MID(Tabla1[[#This Row],[Patente]],3,3))))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D6" sqref="D6"/>
    </sheetView>
  </sheetViews>
  <sheetFormatPr baseColWidth="10" defaultColWidth="9.125" defaultRowHeight="14.25"/>
  <cols>
    <col min="1" max="1" width="9.25" customWidth="1"/>
    <col min="2" max="2" width="22.5" customWidth="1"/>
    <col min="3" max="3" width="19.75" customWidth="1"/>
    <col min="4" max="4" width="23.25" customWidth="1"/>
  </cols>
  <sheetData>
    <row r="1" spans="1:4" ht="18">
      <c r="A1" s="7" t="s">
        <v>94</v>
      </c>
      <c r="B1" s="1"/>
    </row>
    <row r="3" spans="1:4" ht="15">
      <c r="A3" s="6" t="s">
        <v>93</v>
      </c>
    </row>
    <row r="5" spans="1:4" ht="15">
      <c r="A5" s="5" t="s">
        <v>92</v>
      </c>
      <c r="B5" s="5" t="s">
        <v>91</v>
      </c>
      <c r="C5" s="5" t="s">
        <v>90</v>
      </c>
      <c r="D5" s="5" t="s">
        <v>89</v>
      </c>
    </row>
    <row r="6" spans="1:4">
      <c r="A6" t="s">
        <v>3</v>
      </c>
      <c r="B6" t="b">
        <f>FALSE()</f>
        <v>0</v>
      </c>
      <c r="C6" t="b">
        <f>TRUE()</f>
        <v>1</v>
      </c>
    </row>
    <row r="7" spans="1:4">
      <c r="A7" t="s">
        <v>1</v>
      </c>
      <c r="B7" t="b">
        <f>TRUE()</f>
        <v>1</v>
      </c>
      <c r="C7" t="b">
        <f>TRUE()</f>
        <v>1</v>
      </c>
    </row>
    <row r="8" spans="1:4">
      <c r="A8" t="s">
        <v>4</v>
      </c>
      <c r="B8" t="b">
        <f>FALSE()</f>
        <v>0</v>
      </c>
      <c r="C8" t="b">
        <f>FALSE()</f>
        <v>0</v>
      </c>
    </row>
    <row r="9" spans="1:4">
      <c r="A9" t="s">
        <v>88</v>
      </c>
      <c r="B9" t="b">
        <f>FALSE()</f>
        <v>0</v>
      </c>
      <c r="C9" t="b">
        <f>FALSE()</f>
        <v>0</v>
      </c>
    </row>
    <row r="10" spans="1:4">
      <c r="A10" t="s">
        <v>87</v>
      </c>
      <c r="B10" t="b">
        <f>TRUE()</f>
        <v>1</v>
      </c>
      <c r="C10" t="b">
        <f>FALSE()</f>
        <v>0</v>
      </c>
    </row>
    <row r="11" spans="1:4">
      <c r="A11" t="s">
        <v>5</v>
      </c>
      <c r="B11" t="b">
        <f>TRUE()</f>
        <v>1</v>
      </c>
      <c r="C11" t="b">
        <f>TRUE()</f>
        <v>1</v>
      </c>
    </row>
    <row r="12" spans="1:4">
      <c r="A12" t="s">
        <v>86</v>
      </c>
      <c r="B12" t="b">
        <f>TRUE()</f>
        <v>1</v>
      </c>
      <c r="C12" t="b">
        <f>TRUE()</f>
        <v>1</v>
      </c>
    </row>
    <row r="13" spans="1:4">
      <c r="A13" t="s">
        <v>85</v>
      </c>
      <c r="B13" t="b">
        <f>FALSE()</f>
        <v>0</v>
      </c>
      <c r="C13" t="b">
        <f>TRUE()</f>
        <v>1</v>
      </c>
    </row>
    <row r="14" spans="1:4">
      <c r="A14" t="s">
        <v>84</v>
      </c>
      <c r="B14" t="b">
        <f>TRUE()</f>
        <v>1</v>
      </c>
      <c r="C14" t="b">
        <f>FALSE()</f>
        <v>0</v>
      </c>
    </row>
    <row r="15" spans="1:4">
      <c r="A15" t="s">
        <v>2</v>
      </c>
      <c r="B15" t="b">
        <f>TRUE()</f>
        <v>1</v>
      </c>
      <c r="C15" t="b">
        <f>FALSE()</f>
        <v>0</v>
      </c>
    </row>
    <row r="16" spans="1:4">
      <c r="A16" t="s">
        <v>83</v>
      </c>
      <c r="B16" t="b">
        <f>FALSE()</f>
        <v>0</v>
      </c>
      <c r="C16" t="b">
        <f>FALSE()</f>
        <v>0</v>
      </c>
    </row>
    <row r="17" spans="1:4">
      <c r="A17" t="s">
        <v>82</v>
      </c>
      <c r="B17" t="b">
        <f>FALSE()</f>
        <v>0</v>
      </c>
      <c r="C17" t="b">
        <f>TRUE()</f>
        <v>1</v>
      </c>
    </row>
    <row r="18" spans="1:4">
      <c r="A18" t="s">
        <v>81</v>
      </c>
      <c r="B18" t="b">
        <f>TRUE()</f>
        <v>1</v>
      </c>
      <c r="C18" t="b">
        <f>TRUE()</f>
        <v>1</v>
      </c>
    </row>
    <row r="19" spans="1:4">
      <c r="A19" t="s">
        <v>80</v>
      </c>
      <c r="B19" t="b">
        <f>FALSE()</f>
        <v>0</v>
      </c>
      <c r="C19" t="b">
        <f>FALSE()</f>
        <v>0</v>
      </c>
    </row>
    <row r="20" spans="1:4">
      <c r="A20" t="s">
        <v>79</v>
      </c>
      <c r="B20" t="b">
        <f>FALSE()</f>
        <v>0</v>
      </c>
      <c r="C20" t="b">
        <f>TRUE()</f>
        <v>1</v>
      </c>
    </row>
    <row r="21" spans="1:4">
      <c r="A21" t="s">
        <v>78</v>
      </c>
      <c r="B21" t="b">
        <f>FALSE()</f>
        <v>0</v>
      </c>
      <c r="C21" t="b">
        <f>FALSE()</f>
        <v>0</v>
      </c>
    </row>
    <row r="22" spans="1:4">
      <c r="A22" t="s">
        <v>77</v>
      </c>
      <c r="B22" t="b">
        <f>TRUE()</f>
        <v>1</v>
      </c>
      <c r="C22" t="b">
        <f>TRUE()</f>
        <v>1</v>
      </c>
    </row>
    <row r="23" spans="1:4">
      <c r="A23" t="s">
        <v>76</v>
      </c>
      <c r="B23" t="b">
        <f>TRUE()</f>
        <v>1</v>
      </c>
      <c r="C23" t="b">
        <f>TRUE()</f>
        <v>1</v>
      </c>
    </row>
    <row r="24" spans="1:4">
      <c r="A24" t="s">
        <v>75</v>
      </c>
      <c r="B24" t="b">
        <f>FALSE()</f>
        <v>0</v>
      </c>
      <c r="C24" t="b">
        <f>FALSE()</f>
        <v>0</v>
      </c>
    </row>
    <row r="25" spans="1:4">
      <c r="A25" t="s">
        <v>74</v>
      </c>
      <c r="B25" t="b">
        <f>TRUE()</f>
        <v>1</v>
      </c>
      <c r="C25" t="b">
        <f>TRUE()</f>
        <v>1</v>
      </c>
    </row>
    <row r="29" spans="1:4">
      <c r="B29" s="43" t="s">
        <v>73</v>
      </c>
      <c r="C29" s="44"/>
      <c r="D29" s="45"/>
    </row>
    <row r="30" spans="1:4">
      <c r="B30" s="46"/>
      <c r="C30" s="47"/>
      <c r="D30" s="48"/>
    </row>
  </sheetData>
  <mergeCells count="1">
    <mergeCell ref="B29:D30"/>
  </mergeCells>
  <pageMargins left="0.7" right="0.7" top="0.75" bottom="0.75" header="0.3" footer="0.3"/>
  <ignoredErrors>
    <ignoredError sqref="B7 B13 B18 B24:C24 C21 C19" 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Indice y Coincidir y BuscarH</vt:lpstr>
      <vt:lpstr>FUNCION XO</vt:lpstr>
      <vt:lpstr>Funcion NO con 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2025-06-28T21:53:25Z</dcterms:created>
  <dcterms:modified xsi:type="dcterms:W3CDTF">2026-08-01T12:00:23Z</dcterms:modified>
</cp:coreProperties>
</file>