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0" yWindow="0" windowWidth="28800" windowHeight="12435"/>
  </bookViews>
  <sheets>
    <sheet name="Funcion SI" sheetId="3" r:id="rId1"/>
    <sheet name="Si Anidado" sheetId="5" r:id="rId2"/>
    <sheet name="Si e Y u O" sheetId="6" r:id="rId3"/>
  </sheets>
  <definedNames>
    <definedName name="_xlnm._FilterDatabase" localSheetId="2" hidden="1">'Si e Y u O'!$A$2:$C$17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1" i="3"/>
</calcChain>
</file>

<file path=xl/sharedStrings.xml><?xml version="1.0" encoding="utf-8"?>
<sst xmlns="http://schemas.openxmlformats.org/spreadsheetml/2006/main" count="120" uniqueCount="93">
  <si>
    <t>Nombre</t>
  </si>
  <si>
    <t>Calificación</t>
  </si>
  <si>
    <t>Alejandra</t>
  </si>
  <si>
    <t>Bruno</t>
  </si>
  <si>
    <t>Carlos</t>
  </si>
  <si>
    <t>Diana</t>
  </si>
  <si>
    <t>Enrique</t>
  </si>
  <si>
    <t>Prueba lógica</t>
  </si>
  <si>
    <t>Mínima:</t>
  </si>
  <si>
    <t>APROBADO</t>
  </si>
  <si>
    <t>REPROBADO</t>
  </si>
  <si>
    <t>LISTADO DE ALUMNOS</t>
  </si>
  <si>
    <t>NOMBRE</t>
  </si>
  <si>
    <t>Cantidad de Materias</t>
  </si>
  <si>
    <t>Arancel</t>
  </si>
  <si>
    <t>Medio de pago</t>
  </si>
  <si>
    <t>Descuento</t>
  </si>
  <si>
    <t>Arancel Bruto</t>
  </si>
  <si>
    <t>Salario demostrado</t>
  </si>
  <si>
    <t>Beca</t>
  </si>
  <si>
    <t>Total</t>
  </si>
  <si>
    <t>JUAN PEREZ</t>
  </si>
  <si>
    <t>Efectivo</t>
  </si>
  <si>
    <t>DANIEL GARCIA</t>
  </si>
  <si>
    <t>Debito automatico</t>
  </si>
  <si>
    <t>JHON CORDOBA</t>
  </si>
  <si>
    <t>Mercado Pago</t>
  </si>
  <si>
    <t>LINA GIRALDO</t>
  </si>
  <si>
    <t>MATEO RIOS</t>
  </si>
  <si>
    <t>OSCAR CUARTAS</t>
  </si>
  <si>
    <t>SONIA OROZCO</t>
  </si>
  <si>
    <t>WILLIAN URIBE</t>
  </si>
  <si>
    <t>RAMIRO CORDOBA</t>
  </si>
  <si>
    <t>DANIELA GOMEZ</t>
  </si>
  <si>
    <t>JORGE GIRALDO</t>
  </si>
  <si>
    <t>HUGO ROLDA</t>
  </si>
  <si>
    <t>CARLOS RESTREPO</t>
  </si>
  <si>
    <t>CLAUDIA VASQUEZ</t>
  </si>
  <si>
    <t>TATIANA JARAMILLO</t>
  </si>
  <si>
    <t>GLADIS LOPEZ</t>
  </si>
  <si>
    <t>RAMON ESTEVEZ</t>
  </si>
  <si>
    <t>JUAN RAMIREZ</t>
  </si>
  <si>
    <t>ERNESTO GONZALEZ</t>
  </si>
  <si>
    <t>PAOLA CARRIZO</t>
  </si>
  <si>
    <t>RAMIRO CASANOVA</t>
  </si>
  <si>
    <t>Pago en la recepción</t>
  </si>
  <si>
    <t>% de descuento</t>
  </si>
  <si>
    <t>Salario</t>
  </si>
  <si>
    <t>RESUMEN GENERAL</t>
  </si>
  <si>
    <t>Cuantos pagaron en Efectivo</t>
  </si>
  <si>
    <t/>
  </si>
  <si>
    <t>Cuántos pagaron con Debito Automatico</t>
  </si>
  <si>
    <t>Cuantos pagaron con Mercado Pago</t>
  </si>
  <si>
    <t>Cuantos ganan más de 100 mil  pesos en salario</t>
  </si>
  <si>
    <t>Resultados</t>
  </si>
  <si>
    <t>Si Anidado</t>
  </si>
  <si>
    <t>Lo que se pide en el ejercicio es lo siguiente:</t>
  </si>
  <si>
    <t>Juan</t>
  </si>
  <si>
    <t>Pablo</t>
  </si>
  <si>
    <t>Javier</t>
  </si>
  <si>
    <t>P1</t>
  </si>
  <si>
    <t>1. Si Juan mide más de 180 quiero que me de como resultado la altura de Pablo, sino, la de Javier.</t>
  </si>
  <si>
    <t>Altura</t>
  </si>
  <si>
    <t>P2</t>
  </si>
  <si>
    <t>2. Si el pelo de Juan es Castaño entonces quiero que me devuelva «Castaño» y sino quiero que devuelva «Otro».</t>
  </si>
  <si>
    <t>Edad</t>
  </si>
  <si>
    <t>P3</t>
  </si>
  <si>
    <t>3. Si Juan pesa más que Pablo entonces quiero saber el color de ojos de Juan, sino, los de Pablo.</t>
  </si>
  <si>
    <t>Long. Mano</t>
  </si>
  <si>
    <t>P4</t>
  </si>
  <si>
    <t>4. Si Javier es mayor (en edad) que Juan, entonces quiero saber la suma de la edad de Javier y Juan, sino, la media de la edad.</t>
  </si>
  <si>
    <t>Long. Pie</t>
  </si>
  <si>
    <t>P5</t>
  </si>
  <si>
    <t>5. Si Juan o Pablo son Rubios entonces quiero que devuelva «OK», sino, «NO OK».</t>
  </si>
  <si>
    <t>Peso</t>
  </si>
  <si>
    <t>P6</t>
  </si>
  <si>
    <t>6. Si Pablo tiene un pie más grande que la mano entonces quiero que me de su altura, sino que me de el color de sus ojos.</t>
  </si>
  <si>
    <t>Ojos</t>
  </si>
  <si>
    <t>Verde</t>
  </si>
  <si>
    <t>Azúl</t>
  </si>
  <si>
    <t>P7</t>
  </si>
  <si>
    <t>7. Si Juan y Pablo tienen los ojos verdes entonces que devuelva «Verde», sino, que devuelva el color de los ojos de Javier.</t>
  </si>
  <si>
    <t>Pelo</t>
  </si>
  <si>
    <t>Rubio</t>
  </si>
  <si>
    <t>Castaño</t>
  </si>
  <si>
    <t>Calvo</t>
  </si>
  <si>
    <t>P8</t>
  </si>
  <si>
    <t>8. Si Juan, Pablo o Javier pesan más de 100 kilos que ponga «Más de 100» sino, que ponga «Menos de 100».</t>
  </si>
  <si>
    <t>P9</t>
  </si>
  <si>
    <t>9. Si la altura de Juan es mayor de 180 y la de Pablo de 160 que ponga «Altos», sino «No clasificados».</t>
  </si>
  <si>
    <t>P10</t>
  </si>
  <si>
    <t>10. Si la altura de Juan es mayor de 180 o la de Pablo menor de 180 entonces que ponga «Juan más alto», sino que ponga «Juan es más bajo».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</si>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</sst>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5" fillId="12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0" fontId="0" fillId="0" borderId="1" xfId="0" applyBorder="1"/>
    <xf numFmtId="0" fontId="3" fillId="7" borderId="4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0" fillId="8" borderId="4" xfId="0" applyFill="1" applyBorder="1"/>
    <xf numFmtId="0" fontId="0" fillId="8" borderId="5" xfId="0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44" fontId="0" fillId="0" borderId="0" xfId="1" applyFont="1"/>
    <xf numFmtId="44" fontId="3" fillId="7" borderId="5" xfId="1" applyFont="1" applyFill="1" applyBorder="1"/>
    <xf numFmtId="44" fontId="3" fillId="7" borderId="6" xfId="1" applyFont="1" applyFill="1" applyBorder="1"/>
    <xf numFmtId="44" fontId="0" fillId="8" borderId="5" xfId="1" applyFont="1" applyFill="1" applyBorder="1"/>
    <xf numFmtId="44" fontId="0" fillId="8" borderId="6" xfId="1" applyFont="1" applyFill="1" applyBorder="1"/>
    <xf numFmtId="44" fontId="0" fillId="0" borderId="5" xfId="1" applyFont="1" applyBorder="1"/>
    <xf numFmtId="44" fontId="0" fillId="0" borderId="6" xfId="1" applyFont="1" applyBorder="1"/>
    <xf numFmtId="44" fontId="0" fillId="8" borderId="2" xfId="1" applyFont="1" applyFill="1" applyBorder="1"/>
    <xf numFmtId="44" fontId="0" fillId="8" borderId="3" xfId="1" applyFont="1" applyFill="1" applyBorder="1"/>
    <xf numFmtId="44" fontId="3" fillId="7" borderId="4" xfId="1" applyFont="1" applyFill="1" applyBorder="1"/>
    <xf numFmtId="44" fontId="0" fillId="8" borderId="4" xfId="1" applyFont="1" applyFill="1" applyBorder="1"/>
    <xf numFmtId="44" fontId="0" fillId="0" borderId="4" xfId="1" applyFont="1" applyBorder="1"/>
    <xf numFmtId="44" fontId="0" fillId="0" borderId="1" xfId="1" applyFont="1" applyBorder="1"/>
    <xf numFmtId="44" fontId="0" fillId="0" borderId="3" xfId="1" applyFont="1" applyBorder="1"/>
    <xf numFmtId="9" fontId="0" fillId="8" borderId="6" xfId="2" applyFont="1" applyFill="1" applyBorder="1"/>
    <xf numFmtId="9" fontId="0" fillId="0" borderId="6" xfId="2" applyFont="1" applyBorder="1"/>
    <xf numFmtId="9" fontId="0" fillId="8" borderId="3" xfId="2" applyFont="1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3" fillId="11" borderId="0" xfId="0" applyFont="1" applyFill="1"/>
    <xf numFmtId="0" fontId="0" fillId="10" borderId="10" xfId="0" applyFill="1" applyBorder="1"/>
    <xf numFmtId="0" fontId="0" fillId="10" borderId="0" xfId="0" applyFill="1"/>
    <xf numFmtId="0" fontId="0" fillId="10" borderId="11" xfId="0" applyFill="1" applyBorder="1"/>
    <xf numFmtId="0" fontId="1" fillId="0" borderId="12" xfId="0" applyFont="1" applyBorder="1"/>
    <xf numFmtId="0" fontId="0" fillId="0" borderId="13" xfId="0" applyBorder="1"/>
    <xf numFmtId="0" fontId="0" fillId="0" borderId="0" xfId="0" quotePrefix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1" fillId="0" borderId="13" xfId="0" applyFont="1" applyBorder="1"/>
    <xf numFmtId="0" fontId="6" fillId="11" borderId="13" xfId="5" applyFont="1" applyFill="1" applyBorder="1"/>
    <xf numFmtId="9" fontId="0" fillId="8" borderId="5" xfId="0" applyNumberFormat="1" applyFill="1" applyBorder="1"/>
    <xf numFmtId="44" fontId="0" fillId="0" borderId="6" xfId="1" applyFont="1" applyFill="1" applyBorder="1"/>
    <xf numFmtId="0" fontId="4" fillId="9" borderId="0" xfId="0" applyFont="1" applyFill="1" applyAlignment="1">
      <alignment horizontal="center"/>
    </xf>
  </cellXfs>
  <cellStyles count="6">
    <cellStyle name="Buena" xfId="5" builtinId="26"/>
    <cellStyle name="Moneda" xfId="1" builtinId="4"/>
    <cellStyle name="Normal" xfId="0" builtinId="0"/>
    <cellStyle name="Normal 2" xfId="3"/>
    <cellStyle name="Normal 3" xfId="4"/>
    <cellStyle name="Porcentaje" xfId="2" builtinId="5"/>
  </cellStyles>
  <dxfs count="0"/>
  <tableStyles count="1" defaultTableStyle="TableStyleMedium2" defaultPivotStyle="PivotStyleLight16">
    <tableStyle name="Invisible" pivot="0" table="0" count="0"/>
  </tableStyles>
  <colors>
    <mruColors>
      <color rgb="FF83A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17859</xdr:colOff>
      <xdr:row>3</xdr:row>
      <xdr:rowOff>29765</xdr:rowOff>
    </xdr:from>
    <xdr:to>
      <xdr:col>7</xdr:col>
      <xdr:colOff>488156</xdr:colOff>
      <xdr:row>18</xdr:row>
      <xdr:rowOff>5952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8BE76073-63A1-432A-A4DB-C7BD589EFE0E}"/>
            </a:ext>
          </a:extLst>
        </xdr:cNvPr>
        <xdr:cNvSpPr/>
      </xdr:nvSpPr>
      <xdr:spPr>
        <a:xfrm>
          <a:off x="3268265" y="601265"/>
          <a:ext cx="2792016" cy="28336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En "C4" escribir la función</a:t>
          </a:r>
          <a:r>
            <a:rPr lang="es-AR" sz="1100" baseline="0"/>
            <a:t> "SI".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Realizar la comparación para corroborar si la nota es mayor / Igual a 7.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En el Valor de Verdadero escribir el texto entre comillas "Aprobado".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En el de falso "Reprobado".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Fijar el valor que correponda con la tecla "F4" y arrastrar al resto de las celdas.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Usar referencias para todos los argumentos de la función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495299</xdr:colOff>
      <xdr:row>5</xdr:row>
      <xdr:rowOff>9525</xdr:rowOff>
    </xdr:from>
    <xdr:to>
      <xdr:col>13</xdr:col>
      <xdr:colOff>438149</xdr:colOff>
      <xdr:row>8</xdr:row>
      <xdr:rowOff>28575</xdr:rowOff>
    </xdr:to>
    <xdr:sp macro="" textlink="">
      <xdr:nvSpPr>
        <xdr:cNvPr id="2" name="CuadroTexto 1"/>
        <xdr:cNvSpPr txBox="1"/>
      </xdr:nvSpPr>
      <xdr:spPr>
        <a:xfrm>
          <a:off x="13506449" y="1104900"/>
          <a:ext cx="29432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TOTAL</a:t>
          </a:r>
        </a:p>
        <a:p>
          <a:r>
            <a:rPr lang="es-AR" sz="1100"/>
            <a:t>=SI((ArancelBruto-Beca)&lt;0;0;ArancelBruto-Beca)</a:t>
          </a:r>
        </a:p>
      </xdr:txBody>
    </xdr:sp>
    <xdr:clientData/>
  </xdr:twoCellAnchor>
  <xdr:twoCellAnchor>
    <xdr:from>
      <xdr:col>9</xdr:col>
      <xdr:colOff>542925</xdr:colOff>
      <xdr:row>9</xdr:row>
      <xdr:rowOff>152400</xdr:rowOff>
    </xdr:from>
    <xdr:to>
      <xdr:col>12</xdr:col>
      <xdr:colOff>295275</xdr:colOff>
      <xdr:row>12</xdr:row>
      <xdr:rowOff>142875</xdr:rowOff>
    </xdr:to>
    <xdr:sp macro="" textlink="">
      <xdr:nvSpPr>
        <xdr:cNvPr id="3" name="CuadroTexto 2"/>
        <xdr:cNvSpPr txBox="1"/>
      </xdr:nvSpPr>
      <xdr:spPr>
        <a:xfrm>
          <a:off x="13554075" y="2009775"/>
          <a:ext cx="19907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ARANCEL</a:t>
          </a:r>
          <a:r>
            <a:rPr lang="es-AR" sz="1100" baseline="0"/>
            <a:t> BRUTO</a:t>
          </a:r>
          <a:endParaRPr lang="es-AR" sz="1100"/>
        </a:p>
        <a:p>
          <a:r>
            <a:rPr lang="es-AR" sz="1100"/>
            <a:t>=Arancel*(1-Descuento)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13</xdr:row>
      <xdr:rowOff>95249</xdr:rowOff>
    </xdr:from>
    <xdr:to>
      <xdr:col>7</xdr:col>
      <xdr:colOff>647699</xdr:colOff>
      <xdr:row>24</xdr:row>
      <xdr:rowOff>171450</xdr:rowOff>
    </xdr:to>
    <xdr:sp macro="" textlink="">
      <xdr:nvSpPr>
        <xdr:cNvPr id="2" name="CuadroTexto 1"/>
        <xdr:cNvSpPr txBox="1"/>
      </xdr:nvSpPr>
      <xdr:spPr>
        <a:xfrm>
          <a:off x="409574" y="2581274"/>
          <a:ext cx="4657725" cy="2171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 u="sng"/>
            <a:t>Sintaxis</a:t>
          </a:r>
        </a:p>
        <a:p>
          <a:endParaRPr lang="es-AR" sz="1100" b="0" i="1" u="sng"/>
        </a:p>
        <a:p>
          <a:r>
            <a:rPr lang="es-AR" sz="1100"/>
            <a:t>=SI(Y(condición1; condición2; ...); valor_si_verdadero; valor_si_falso)</a:t>
          </a:r>
        </a:p>
        <a:p>
          <a:r>
            <a:rPr lang="es-AR"/>
            <a:t>Evalúa varias condiciones.</a:t>
          </a:r>
          <a:br>
            <a:rPr lang="es-AR"/>
          </a:br>
          <a:r>
            <a:rPr lang="es-AR"/>
            <a:t> Si </a:t>
          </a:r>
          <a:r>
            <a:rPr lang="es-AR" b="1"/>
            <a:t>todas se cumplen</a:t>
          </a:r>
          <a:r>
            <a:rPr lang="es-AR"/>
            <a:t>, devuelve el valor verdadero.</a:t>
          </a:r>
          <a:br>
            <a:rPr lang="es-AR"/>
          </a:br>
          <a:r>
            <a:rPr lang="es-AR"/>
            <a:t> Si </a:t>
          </a:r>
          <a:r>
            <a:rPr lang="es-AR" b="1"/>
            <a:t>alguna NO se cumple</a:t>
          </a:r>
          <a:r>
            <a:rPr lang="es-AR"/>
            <a:t>, devuelve el valor falso.</a:t>
          </a:r>
        </a:p>
        <a:p>
          <a:endParaRPr lang="es-AR" sz="1100"/>
        </a:p>
        <a:p>
          <a:pPr eaLnBrk="1" fontAlgn="auto" latinLnBrk="0" hangingPunct="1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=SI(O(condición1; condición2; ...); valor_si_verdadero; valor_si_falso)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Evalúa varias condiciones.</a:t>
          </a:r>
          <a:b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</a:t>
          </a: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menos una se cumple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devuelve el valor verdadero.</a:t>
          </a:r>
          <a:b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</a:t>
          </a: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ninguna se cumple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devuelve el valor falso.</a:t>
          </a:r>
          <a:endParaRPr lang="es-AR">
            <a:effectLst/>
          </a:endParaRPr>
        </a:p>
        <a:p>
          <a:endParaRPr lang="es-AR" sz="1100"/>
        </a:p>
        <a:p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5" name="Tabla5" displayName="Tabla5" ref="A37:B41" totalsRowShown="0">
  <autoFilter ref="A37:B41"/>
  <tableColumns count="2">
    <tableColumn id="1" name="RESUMEN GENERAL"/>
    <tableColumn id="2" name="Result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60" zoomScaleNormal="160" workbookViewId="0"/>
  </sheetViews>
  <sheetFormatPr baseColWidth="10" defaultRowHeight="15" x14ac:dyDescent="0.25"/>
  <cols>
    <col min="3" max="3" width="14.42578125" bestFit="1" customWidth="1"/>
    <col min="6" max="6" width="12" bestFit="1" customWidth="1"/>
  </cols>
  <sheetData>
    <row r="1" spans="1:6" x14ac:dyDescent="0.25">
      <c r="A1" s="3" t="s">
        <v>8</v>
      </c>
      <c r="B1" s="8">
        <v>7</v>
      </c>
      <c r="E1" s="4" t="str">
        <f>"&gt;= " &amp; B1</f>
        <v>&gt;= 7</v>
      </c>
      <c r="F1" s="5" t="s">
        <v>9</v>
      </c>
    </row>
    <row r="2" spans="1:6" x14ac:dyDescent="0.25">
      <c r="E2" s="6" t="str">
        <f>"&lt; " &amp; B1</f>
        <v>&lt; 7</v>
      </c>
      <c r="F2" s="7" t="s">
        <v>10</v>
      </c>
    </row>
    <row r="3" spans="1:6" x14ac:dyDescent="0.25">
      <c r="A3" s="2" t="s">
        <v>0</v>
      </c>
      <c r="B3" s="2" t="s">
        <v>1</v>
      </c>
      <c r="C3" s="2" t="s">
        <v>7</v>
      </c>
    </row>
    <row r="4" spans="1:6" x14ac:dyDescent="0.25">
      <c r="A4" t="s">
        <v>2</v>
      </c>
      <c r="B4" s="1">
        <v>7</v>
      </c>
    </row>
    <row r="5" spans="1:6" x14ac:dyDescent="0.25">
      <c r="A5" t="s">
        <v>3</v>
      </c>
      <c r="B5" s="1">
        <v>8</v>
      </c>
    </row>
    <row r="6" spans="1:6" x14ac:dyDescent="0.25">
      <c r="A6" t="s">
        <v>4</v>
      </c>
      <c r="B6" s="1">
        <v>5</v>
      </c>
    </row>
    <row r="7" spans="1:6" x14ac:dyDescent="0.25">
      <c r="A7" t="s">
        <v>5</v>
      </c>
      <c r="B7" s="1">
        <v>9</v>
      </c>
    </row>
    <row r="8" spans="1:6" x14ac:dyDescent="0.25">
      <c r="A8" t="s">
        <v>6</v>
      </c>
      <c r="B8" s="1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0" workbookViewId="0">
      <selection activeCell="M25" sqref="M25"/>
    </sheetView>
  </sheetViews>
  <sheetFormatPr baseColWidth="10" defaultRowHeight="15" x14ac:dyDescent="0.25"/>
  <cols>
    <col min="1" max="1" width="42.42578125" customWidth="1"/>
    <col min="2" max="2" width="18.140625" bestFit="1" customWidth="1"/>
    <col min="3" max="3" width="25.28515625" customWidth="1"/>
    <col min="4" max="4" width="17.140625" bestFit="1" customWidth="1"/>
    <col min="5" max="5" width="21" customWidth="1"/>
    <col min="6" max="6" width="19.42578125" customWidth="1"/>
    <col min="7" max="7" width="19" style="20" bestFit="1" customWidth="1"/>
    <col min="8" max="8" width="14.140625" style="20" customWidth="1"/>
    <col min="9" max="9" width="18.5703125" style="20" customWidth="1"/>
    <col min="10" max="10" width="10.7109375" style="20"/>
  </cols>
  <sheetData>
    <row r="1" spans="1:9" ht="26.25" x14ac:dyDescent="0.4">
      <c r="A1" s="54" t="s">
        <v>55</v>
      </c>
      <c r="B1" s="54"/>
    </row>
    <row r="4" spans="1:9" x14ac:dyDescent="0.25">
      <c r="A4" s="19" t="s">
        <v>11</v>
      </c>
    </row>
    <row r="5" spans="1:9" x14ac:dyDescent="0.25">
      <c r="A5" s="12" t="s">
        <v>12</v>
      </c>
      <c r="B5" s="13" t="s">
        <v>13</v>
      </c>
      <c r="C5" s="13" t="s">
        <v>14</v>
      </c>
      <c r="D5" s="13" t="s">
        <v>15</v>
      </c>
      <c r="E5" s="13" t="s">
        <v>16</v>
      </c>
      <c r="F5" s="13" t="s">
        <v>17</v>
      </c>
      <c r="G5" s="21" t="s">
        <v>18</v>
      </c>
      <c r="H5" s="21" t="s">
        <v>19</v>
      </c>
      <c r="I5" s="22" t="s">
        <v>20</v>
      </c>
    </row>
    <row r="6" spans="1:9" x14ac:dyDescent="0.25">
      <c r="A6" s="15" t="s">
        <v>25</v>
      </c>
      <c r="B6" s="16">
        <v>4</v>
      </c>
      <c r="C6" s="16"/>
      <c r="D6" s="16" t="s">
        <v>26</v>
      </c>
      <c r="E6" s="52"/>
      <c r="F6" s="16"/>
      <c r="G6" s="23">
        <v>67000</v>
      </c>
      <c r="H6" s="23"/>
      <c r="I6" s="24"/>
    </row>
    <row r="7" spans="1:9" x14ac:dyDescent="0.25">
      <c r="A7" s="17" t="s">
        <v>31</v>
      </c>
      <c r="B7" s="18">
        <v>2</v>
      </c>
      <c r="C7" s="18"/>
      <c r="D7" s="18" t="s">
        <v>22</v>
      </c>
      <c r="E7" s="18"/>
      <c r="F7" s="18"/>
      <c r="G7" s="25">
        <v>89700</v>
      </c>
      <c r="H7" s="25"/>
      <c r="I7" s="53"/>
    </row>
    <row r="8" spans="1:9" x14ac:dyDescent="0.25">
      <c r="A8" s="15" t="s">
        <v>32</v>
      </c>
      <c r="B8" s="16">
        <v>1</v>
      </c>
      <c r="C8" s="16"/>
      <c r="D8" s="16" t="s">
        <v>24</v>
      </c>
      <c r="E8" s="16"/>
      <c r="F8" s="16"/>
      <c r="G8" s="23">
        <v>125000</v>
      </c>
      <c r="H8" s="23"/>
      <c r="I8" s="24"/>
    </row>
    <row r="9" spans="1:9" x14ac:dyDescent="0.25">
      <c r="A9" s="15" t="s">
        <v>34</v>
      </c>
      <c r="B9" s="16">
        <v>4</v>
      </c>
      <c r="C9" s="16"/>
      <c r="D9" s="16" t="s">
        <v>26</v>
      </c>
      <c r="E9" s="16"/>
      <c r="F9" s="16"/>
      <c r="G9" s="23">
        <v>90000</v>
      </c>
      <c r="H9" s="23"/>
      <c r="I9" s="24"/>
    </row>
    <row r="10" spans="1:9" x14ac:dyDescent="0.25">
      <c r="A10" s="17" t="s">
        <v>23</v>
      </c>
      <c r="B10" s="18">
        <v>2</v>
      </c>
      <c r="C10" s="18"/>
      <c r="D10" s="18" t="s">
        <v>24</v>
      </c>
      <c r="E10" s="18"/>
      <c r="F10" s="18"/>
      <c r="G10" s="25">
        <v>120000</v>
      </c>
      <c r="H10" s="25"/>
      <c r="I10" s="26"/>
    </row>
    <row r="11" spans="1:9" x14ac:dyDescent="0.25">
      <c r="A11" s="15" t="s">
        <v>28</v>
      </c>
      <c r="B11" s="16">
        <v>3</v>
      </c>
      <c r="C11" s="16"/>
      <c r="D11" s="16" t="s">
        <v>26</v>
      </c>
      <c r="E11" s="16"/>
      <c r="F11" s="16"/>
      <c r="G11" s="23">
        <v>78600</v>
      </c>
      <c r="H11" s="23"/>
      <c r="I11" s="24"/>
    </row>
    <row r="12" spans="1:9" x14ac:dyDescent="0.25">
      <c r="A12" s="15" t="s">
        <v>30</v>
      </c>
      <c r="B12" s="16">
        <v>2</v>
      </c>
      <c r="C12" s="16"/>
      <c r="D12" s="16" t="s">
        <v>24</v>
      </c>
      <c r="E12" s="16"/>
      <c r="F12" s="16"/>
      <c r="G12" s="23">
        <v>91200</v>
      </c>
      <c r="H12" s="23"/>
      <c r="I12" s="24"/>
    </row>
    <row r="13" spans="1:9" x14ac:dyDescent="0.25">
      <c r="A13" s="17" t="s">
        <v>33</v>
      </c>
      <c r="B13" s="18">
        <v>1</v>
      </c>
      <c r="C13" s="18"/>
      <c r="D13" s="18" t="s">
        <v>26</v>
      </c>
      <c r="E13" s="18"/>
      <c r="F13" s="18"/>
      <c r="G13" s="25">
        <v>65400</v>
      </c>
      <c r="H13" s="25"/>
      <c r="I13" s="26"/>
    </row>
    <row r="14" spans="1:9" x14ac:dyDescent="0.25">
      <c r="A14" s="17" t="s">
        <v>37</v>
      </c>
      <c r="B14" s="18">
        <v>1</v>
      </c>
      <c r="C14" s="18"/>
      <c r="D14" s="18" t="s">
        <v>24</v>
      </c>
      <c r="E14" s="18"/>
      <c r="F14" s="18"/>
      <c r="G14" s="25">
        <v>76500</v>
      </c>
      <c r="H14" s="25"/>
      <c r="I14" s="26"/>
    </row>
    <row r="15" spans="1:9" x14ac:dyDescent="0.25">
      <c r="A15" s="17" t="s">
        <v>29</v>
      </c>
      <c r="B15" s="18">
        <v>2</v>
      </c>
      <c r="C15" s="18"/>
      <c r="D15" s="18" t="s">
        <v>22</v>
      </c>
      <c r="E15" s="18"/>
      <c r="F15" s="18"/>
      <c r="G15" s="25">
        <v>98700</v>
      </c>
      <c r="H15" s="25"/>
      <c r="I15" s="26"/>
    </row>
    <row r="16" spans="1:9" x14ac:dyDescent="0.25">
      <c r="A16" s="17" t="s">
        <v>35</v>
      </c>
      <c r="B16" s="18">
        <v>1</v>
      </c>
      <c r="C16" s="18"/>
      <c r="D16" s="18" t="s">
        <v>26</v>
      </c>
      <c r="E16" s="18"/>
      <c r="F16" s="18"/>
      <c r="G16" s="25">
        <v>87600</v>
      </c>
      <c r="H16" s="25"/>
      <c r="I16" s="26"/>
    </row>
    <row r="17" spans="1:9" x14ac:dyDescent="0.25">
      <c r="A17" s="17" t="s">
        <v>39</v>
      </c>
      <c r="B17" s="18">
        <v>3</v>
      </c>
      <c r="C17" s="18"/>
      <c r="D17" s="18" t="s">
        <v>24</v>
      </c>
      <c r="E17" s="18"/>
      <c r="F17" s="18"/>
      <c r="G17" s="25">
        <v>67500</v>
      </c>
      <c r="H17" s="25"/>
      <c r="I17" s="26"/>
    </row>
    <row r="18" spans="1:9" x14ac:dyDescent="0.25">
      <c r="A18" s="15" t="s">
        <v>42</v>
      </c>
      <c r="B18" s="16">
        <v>4</v>
      </c>
      <c r="C18" s="16"/>
      <c r="D18" s="16" t="s">
        <v>22</v>
      </c>
      <c r="E18" s="16"/>
      <c r="F18" s="16"/>
      <c r="G18" s="23">
        <v>89756.4</v>
      </c>
      <c r="H18" s="23"/>
      <c r="I18" s="24"/>
    </row>
    <row r="19" spans="1:9" x14ac:dyDescent="0.25">
      <c r="A19" s="15" t="s">
        <v>21</v>
      </c>
      <c r="B19" s="16">
        <v>2</v>
      </c>
      <c r="C19" s="16"/>
      <c r="D19" s="16" t="s">
        <v>22</v>
      </c>
      <c r="E19" s="16"/>
      <c r="F19" s="16"/>
      <c r="G19" s="23">
        <v>140000</v>
      </c>
      <c r="H19" s="23"/>
      <c r="I19" s="24"/>
    </row>
    <row r="20" spans="1:9" x14ac:dyDescent="0.25">
      <c r="A20" s="17" t="s">
        <v>27</v>
      </c>
      <c r="B20" s="18">
        <v>4</v>
      </c>
      <c r="C20" s="18"/>
      <c r="D20" s="18" t="s">
        <v>26</v>
      </c>
      <c r="E20" s="18"/>
      <c r="F20" s="18"/>
      <c r="G20" s="25">
        <v>120000</v>
      </c>
      <c r="H20" s="25"/>
      <c r="I20" s="26"/>
    </row>
    <row r="21" spans="1:9" x14ac:dyDescent="0.25">
      <c r="A21" s="15" t="s">
        <v>36</v>
      </c>
      <c r="B21" s="16">
        <v>3</v>
      </c>
      <c r="C21" s="16"/>
      <c r="D21" s="16" t="s">
        <v>22</v>
      </c>
      <c r="E21" s="16"/>
      <c r="F21" s="16"/>
      <c r="G21" s="23">
        <v>130000</v>
      </c>
      <c r="H21" s="23"/>
      <c r="I21" s="24"/>
    </row>
    <row r="22" spans="1:9" x14ac:dyDescent="0.25">
      <c r="A22" s="15" t="s">
        <v>38</v>
      </c>
      <c r="B22" s="16">
        <v>4</v>
      </c>
      <c r="C22" s="16"/>
      <c r="D22" s="16" t="s">
        <v>22</v>
      </c>
      <c r="E22" s="16"/>
      <c r="F22" s="16"/>
      <c r="G22" s="23">
        <v>87600</v>
      </c>
      <c r="H22" s="23"/>
      <c r="I22" s="24"/>
    </row>
    <row r="23" spans="1:9" x14ac:dyDescent="0.25">
      <c r="A23" s="15" t="s">
        <v>40</v>
      </c>
      <c r="B23" s="16">
        <v>4</v>
      </c>
      <c r="C23" s="16"/>
      <c r="D23" s="16" t="s">
        <v>22</v>
      </c>
      <c r="E23" s="16"/>
      <c r="F23" s="16"/>
      <c r="G23" s="23">
        <v>67500</v>
      </c>
      <c r="H23" s="23"/>
      <c r="I23" s="24"/>
    </row>
    <row r="24" spans="1:9" x14ac:dyDescent="0.25">
      <c r="A24" s="17" t="s">
        <v>41</v>
      </c>
      <c r="B24" s="18">
        <v>3</v>
      </c>
      <c r="C24" s="18"/>
      <c r="D24" s="18" t="s">
        <v>24</v>
      </c>
      <c r="E24" s="18"/>
      <c r="F24" s="18"/>
      <c r="G24" s="25">
        <v>89756.4</v>
      </c>
      <c r="H24" s="25"/>
      <c r="I24" s="26"/>
    </row>
    <row r="25" spans="1:9" x14ac:dyDescent="0.25">
      <c r="A25" s="17" t="s">
        <v>43</v>
      </c>
      <c r="B25" s="18">
        <v>4</v>
      </c>
      <c r="C25" s="18"/>
      <c r="D25" s="18" t="s">
        <v>24</v>
      </c>
      <c r="E25" s="18"/>
      <c r="F25" s="18"/>
      <c r="G25" s="25">
        <v>83775.199999999997</v>
      </c>
      <c r="H25" s="25"/>
      <c r="I25" s="26"/>
    </row>
    <row r="26" spans="1:9" x14ac:dyDescent="0.25">
      <c r="A26" s="9" t="s">
        <v>44</v>
      </c>
      <c r="B26" s="10">
        <v>4</v>
      </c>
      <c r="C26" s="10"/>
      <c r="D26" s="10" t="s">
        <v>45</v>
      </c>
      <c r="E26" s="10"/>
      <c r="F26" s="10"/>
      <c r="G26" s="27">
        <v>84853.7</v>
      </c>
      <c r="H26" s="27"/>
      <c r="I26" s="28"/>
    </row>
    <row r="29" spans="1:9" x14ac:dyDescent="0.25">
      <c r="B29" s="12" t="s">
        <v>13</v>
      </c>
      <c r="C29" s="14" t="s">
        <v>14</v>
      </c>
      <c r="E29" s="12" t="s">
        <v>15</v>
      </c>
      <c r="F29" s="14" t="s">
        <v>46</v>
      </c>
      <c r="H29" s="29" t="s">
        <v>47</v>
      </c>
      <c r="I29" s="22" t="s">
        <v>19</v>
      </c>
    </row>
    <row r="30" spans="1:9" x14ac:dyDescent="0.25">
      <c r="B30" s="15">
        <v>1</v>
      </c>
      <c r="C30" s="24">
        <v>7000</v>
      </c>
      <c r="E30" s="15" t="s">
        <v>22</v>
      </c>
      <c r="F30" s="34">
        <v>0.3</v>
      </c>
      <c r="H30" s="30">
        <v>100000</v>
      </c>
      <c r="I30" s="24">
        <v>1000</v>
      </c>
    </row>
    <row r="31" spans="1:9" x14ac:dyDescent="0.25">
      <c r="B31" s="17">
        <v>2</v>
      </c>
      <c r="C31" s="26">
        <v>10000</v>
      </c>
      <c r="E31" s="17" t="s">
        <v>24</v>
      </c>
      <c r="F31" s="35">
        <v>0.2</v>
      </c>
      <c r="H31" s="31">
        <v>80000</v>
      </c>
      <c r="I31" s="26">
        <v>5000</v>
      </c>
    </row>
    <row r="32" spans="1:9" x14ac:dyDescent="0.25">
      <c r="B32" s="15">
        <v>3</v>
      </c>
      <c r="C32" s="24">
        <v>15000</v>
      </c>
      <c r="E32" s="9" t="s">
        <v>26</v>
      </c>
      <c r="F32" s="36">
        <v>0.1</v>
      </c>
      <c r="H32" s="30">
        <v>70000</v>
      </c>
      <c r="I32" s="24">
        <v>10000</v>
      </c>
    </row>
    <row r="33" spans="1:9" x14ac:dyDescent="0.25">
      <c r="B33" s="11">
        <v>4</v>
      </c>
      <c r="C33" s="33">
        <v>20000</v>
      </c>
      <c r="H33" s="32">
        <v>60000</v>
      </c>
      <c r="I33" s="33">
        <v>15000</v>
      </c>
    </row>
    <row r="37" spans="1:9" x14ac:dyDescent="0.25">
      <c r="A37" t="s">
        <v>48</v>
      </c>
      <c r="B37" t="s">
        <v>54</v>
      </c>
    </row>
    <row r="38" spans="1:9" x14ac:dyDescent="0.25">
      <c r="A38" t="s">
        <v>49</v>
      </c>
      <c r="E38" t="s">
        <v>50</v>
      </c>
    </row>
    <row r="39" spans="1:9" x14ac:dyDescent="0.25">
      <c r="A39" t="s">
        <v>51</v>
      </c>
      <c r="E39" t="s">
        <v>50</v>
      </c>
    </row>
    <row r="40" spans="1:9" x14ac:dyDescent="0.25">
      <c r="A40" t="s">
        <v>52</v>
      </c>
      <c r="E40" t="s">
        <v>50</v>
      </c>
    </row>
    <row r="41" spans="1:9" x14ac:dyDescent="0.25">
      <c r="A41" t="s">
        <v>53</v>
      </c>
    </row>
  </sheetData>
  <sortState ref="B30:C33">
    <sortCondition ref="B30"/>
  </sortState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workbookViewId="0">
      <selection activeCell="H9" sqref="H9"/>
    </sheetView>
  </sheetViews>
  <sheetFormatPr baseColWidth="10" defaultColWidth="11.42578125" defaultRowHeight="15" x14ac:dyDescent="0.25"/>
  <cols>
    <col min="4" max="5" width="7.5703125" customWidth="1"/>
    <col min="6" max="6" width="12.140625" customWidth="1"/>
    <col min="7" max="7" width="4.7109375" customWidth="1"/>
    <col min="8" max="8" width="15.85546875" customWidth="1"/>
  </cols>
  <sheetData>
    <row r="1" spans="1:20" x14ac:dyDescent="0.25">
      <c r="G1" s="51" t="s">
        <v>92</v>
      </c>
      <c r="H1" s="51"/>
      <c r="J1" s="37" t="s">
        <v>56</v>
      </c>
      <c r="K1" s="38"/>
      <c r="L1" s="38"/>
      <c r="M1" s="38"/>
      <c r="N1" s="38"/>
      <c r="O1" s="38"/>
      <c r="P1" s="38"/>
      <c r="Q1" s="38"/>
      <c r="R1" s="38"/>
      <c r="S1" s="38"/>
      <c r="T1" s="39"/>
    </row>
    <row r="2" spans="1:20" x14ac:dyDescent="0.25">
      <c r="B2" s="40" t="s">
        <v>57</v>
      </c>
      <c r="C2" s="40" t="s">
        <v>58</v>
      </c>
      <c r="D2" s="40" t="s">
        <v>59</v>
      </c>
      <c r="G2" s="50" t="s">
        <v>60</v>
      </c>
      <c r="H2" s="45"/>
      <c r="J2" s="41" t="s">
        <v>61</v>
      </c>
      <c r="K2" s="42"/>
      <c r="L2" s="42"/>
      <c r="M2" s="42"/>
      <c r="N2" s="42"/>
      <c r="O2" s="42"/>
      <c r="P2" s="42"/>
      <c r="Q2" s="42"/>
      <c r="R2" s="42"/>
      <c r="S2" s="42"/>
      <c r="T2" s="43"/>
    </row>
    <row r="3" spans="1:20" x14ac:dyDescent="0.25">
      <c r="A3" s="44" t="s">
        <v>62</v>
      </c>
      <c r="B3" s="45">
        <v>187</v>
      </c>
      <c r="C3" s="45">
        <v>167</v>
      </c>
      <c r="D3" s="45">
        <v>198</v>
      </c>
      <c r="F3" s="46"/>
      <c r="G3" s="50" t="s">
        <v>63</v>
      </c>
      <c r="H3" s="45"/>
      <c r="J3" s="41" t="s">
        <v>64</v>
      </c>
      <c r="K3" s="42"/>
      <c r="L3" s="42"/>
      <c r="M3" s="42"/>
      <c r="N3" s="42"/>
      <c r="O3" s="42"/>
      <c r="P3" s="42"/>
      <c r="Q3" s="42"/>
      <c r="R3" s="42"/>
      <c r="S3" s="42"/>
      <c r="T3" s="43"/>
    </row>
    <row r="4" spans="1:20" x14ac:dyDescent="0.25">
      <c r="A4" s="44" t="s">
        <v>65</v>
      </c>
      <c r="B4" s="45">
        <v>30</v>
      </c>
      <c r="C4" s="45">
        <v>56</v>
      </c>
      <c r="D4" s="45">
        <v>39</v>
      </c>
      <c r="G4" s="50" t="s">
        <v>66</v>
      </c>
      <c r="H4" s="45"/>
      <c r="J4" s="41" t="s">
        <v>67</v>
      </c>
      <c r="K4" s="42"/>
      <c r="L4" s="42"/>
      <c r="M4" s="42"/>
      <c r="N4" s="42"/>
      <c r="O4" s="42"/>
      <c r="P4" s="42"/>
      <c r="Q4" s="42"/>
      <c r="R4" s="42"/>
      <c r="S4" s="42"/>
      <c r="T4" s="43"/>
    </row>
    <row r="5" spans="1:20" x14ac:dyDescent="0.25">
      <c r="A5" s="44" t="s">
        <v>68</v>
      </c>
      <c r="B5" s="45">
        <v>35</v>
      </c>
      <c r="C5" s="45">
        <v>40</v>
      </c>
      <c r="D5" s="45">
        <v>45</v>
      </c>
      <c r="G5" s="50" t="s">
        <v>69</v>
      </c>
      <c r="H5" s="45"/>
      <c r="J5" s="41" t="s">
        <v>70</v>
      </c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0" x14ac:dyDescent="0.25">
      <c r="A6" s="44" t="s">
        <v>71</v>
      </c>
      <c r="B6" s="45">
        <v>40</v>
      </c>
      <c r="C6" s="45">
        <v>47</v>
      </c>
      <c r="D6" s="45">
        <v>43</v>
      </c>
      <c r="G6" s="50" t="s">
        <v>72</v>
      </c>
      <c r="H6" s="45"/>
      <c r="J6" s="41" t="s">
        <v>73</v>
      </c>
      <c r="K6" s="42"/>
      <c r="L6" s="42"/>
      <c r="M6" s="42"/>
      <c r="N6" s="42"/>
      <c r="O6" s="42"/>
      <c r="P6" s="42"/>
      <c r="Q6" s="42"/>
      <c r="R6" s="42"/>
      <c r="S6" s="42"/>
      <c r="T6" s="43"/>
    </row>
    <row r="7" spans="1:20" x14ac:dyDescent="0.25">
      <c r="A7" s="44" t="s">
        <v>74</v>
      </c>
      <c r="B7" s="45">
        <v>87</v>
      </c>
      <c r="C7" s="45">
        <v>69</v>
      </c>
      <c r="D7" s="45">
        <v>99</v>
      </c>
      <c r="F7" s="46"/>
      <c r="G7" s="50" t="s">
        <v>75</v>
      </c>
      <c r="H7" s="45"/>
      <c r="J7" s="41" t="s">
        <v>76</v>
      </c>
      <c r="K7" s="42"/>
      <c r="L7" s="42"/>
      <c r="M7" s="42"/>
      <c r="N7" s="42"/>
      <c r="O7" s="42"/>
      <c r="P7" s="42"/>
      <c r="Q7" s="42"/>
      <c r="R7" s="42"/>
      <c r="S7" s="42"/>
      <c r="T7" s="43"/>
    </row>
    <row r="8" spans="1:20" x14ac:dyDescent="0.25">
      <c r="A8" s="44" t="s">
        <v>77</v>
      </c>
      <c r="B8" s="45" t="s">
        <v>78</v>
      </c>
      <c r="C8" s="45" t="s">
        <v>78</v>
      </c>
      <c r="D8" s="45" t="s">
        <v>79</v>
      </c>
      <c r="G8" s="50" t="s">
        <v>80</v>
      </c>
      <c r="H8" s="45"/>
      <c r="J8" s="41" t="s">
        <v>81</v>
      </c>
      <c r="K8" s="42"/>
      <c r="L8" s="42"/>
      <c r="M8" s="42"/>
      <c r="N8" s="42"/>
      <c r="O8" s="42"/>
      <c r="P8" s="42"/>
      <c r="Q8" s="42"/>
      <c r="R8" s="42"/>
      <c r="S8" s="42"/>
      <c r="T8" s="43"/>
    </row>
    <row r="9" spans="1:20" x14ac:dyDescent="0.25">
      <c r="A9" s="44" t="s">
        <v>82</v>
      </c>
      <c r="B9" s="45" t="s">
        <v>83</v>
      </c>
      <c r="C9" s="45" t="s">
        <v>84</v>
      </c>
      <c r="D9" s="45" t="s">
        <v>85</v>
      </c>
      <c r="G9" s="50" t="s">
        <v>86</v>
      </c>
      <c r="H9" s="45"/>
      <c r="J9" s="41" t="s">
        <v>87</v>
      </c>
      <c r="K9" s="42"/>
      <c r="L9" s="42"/>
      <c r="M9" s="42"/>
      <c r="N9" s="42"/>
      <c r="O9" s="42"/>
      <c r="P9" s="42"/>
      <c r="Q9" s="42"/>
      <c r="R9" s="42"/>
      <c r="S9" s="42"/>
      <c r="T9" s="43"/>
    </row>
    <row r="10" spans="1:20" x14ac:dyDescent="0.25">
      <c r="G10" s="50" t="s">
        <v>88</v>
      </c>
      <c r="H10" s="45"/>
      <c r="J10" s="41" t="s">
        <v>89</v>
      </c>
      <c r="K10" s="42"/>
      <c r="L10" s="42"/>
      <c r="M10" s="42"/>
      <c r="N10" s="42"/>
      <c r="O10" s="42"/>
      <c r="P10" s="42"/>
      <c r="Q10" s="42"/>
      <c r="R10" s="42"/>
      <c r="S10" s="42"/>
      <c r="T10" s="43"/>
    </row>
    <row r="11" spans="1:20" ht="15.75" thickBot="1" x14ac:dyDescent="0.3">
      <c r="G11" s="50" t="s">
        <v>90</v>
      </c>
      <c r="H11" s="45"/>
      <c r="J11" s="47" t="s">
        <v>91</v>
      </c>
      <c r="K11" s="48"/>
      <c r="L11" s="48"/>
      <c r="M11" s="48"/>
      <c r="N11" s="48"/>
      <c r="O11" s="48"/>
      <c r="P11" s="48"/>
      <c r="Q11" s="48"/>
      <c r="R11" s="48"/>
      <c r="S11" s="48"/>
      <c r="T11" s="49"/>
    </row>
    <row r="12" spans="1:20" x14ac:dyDescent="0.25">
      <c r="F12" s="46"/>
    </row>
    <row r="16" spans="1:20" x14ac:dyDescent="0.25">
      <c r="F16" s="4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 SI</vt:lpstr>
      <vt:lpstr>Si Anidado</vt:lpstr>
      <vt:lpstr>Si e Y u 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2013-01-22T20:37:08Z</dcterms:created>
  <dcterms:modified xsi:type="dcterms:W3CDTF">2026-06-15T13:44:30Z</dcterms:modified>
</cp:coreProperties>
</file>