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34455" yWindow="7590" windowWidth="23250" windowHeight="12450"/>
  </bookViews>
  <sheets>
    <sheet name="Que es" sheetId="38" r:id="rId1"/>
    <sheet name="En que la aplico" sheetId="37" r:id="rId2"/>
    <sheet name="Cinta programador" sheetId="39" r:id="rId3"/>
    <sheet name="Habilitar Macros" sheetId="40" r:id="rId4"/>
    <sheet name="BASE" sheetId="10" r:id="rId5"/>
    <sheet name="Macro simple(Una accion por mac" sheetId="41" r:id="rId6"/>
    <sheet name="Macro Limpiar Segmentadores" sheetId="57" r:id="rId7"/>
    <sheet name="Macro Copiar y Borrar" sheetId="42" r:id="rId8"/>
    <sheet name="Macro Para formulario" sheetId="43" r:id="rId9"/>
    <sheet name="Base del formulario" sheetId="44" r:id="rId10"/>
    <sheet name="Macro referencias relativas" sheetId="58" r:id="rId11"/>
    <sheet name="Guardar el archivo" sheetId="45" r:id="rId12"/>
  </sheets>
  <definedNames>
    <definedName name="_xlnm._FilterDatabase" localSheetId="4" hidden="1">BASE!$A$1:$R$1</definedName>
    <definedName name="Cantidad">#REF!</definedName>
    <definedName name="Mes">#REF!</definedName>
    <definedName name="Sales">#REF!</definedName>
    <definedName name="SegmentaciónDeDatos_Categoría_Producto">#N/A</definedName>
    <definedName name="SegmentaciónDeDatos_Cliente_Frecuente">#N/A</definedName>
    <definedName name="SegmentaciónDeDatos_Método_de_Pago">#N/A</definedName>
    <definedName name="SegmentaciónDeDatos_Producto">#N/A</definedName>
    <definedName name="SegmentaciónDeDatos_Región">#N/A</definedName>
    <definedName name="SegmentaciónDeDatos_Vendedor">#N/A</definedName>
    <definedName name="Tipo">#REF!</definedName>
    <definedName name="Vendedor">#REF!</definedName>
  </definedNames>
  <calcPr calcId="152511"/>
  <pivotCaches>
    <pivotCache cacheId="0" r:id="rId13"/>
  </pivotCaches>
  <extLst>
    <ext xmlns:x14="http://schemas.microsoft.com/office/spreadsheetml/2009/9/main" uri="{BBE1A952-AA13-448e-AADC-164F8A28A991}">
      <x14:slicerCaches>
        <x14:slicerCache r:id="rId14"/>
        <x14:slicerCache r:id="rId15"/>
        <x14:slicerCache r:id="rId16"/>
        <x14:slicerCache r:id="rId17"/>
        <x14:slicerCache r:id="rId18"/>
        <x14:slicerCache r:id="rId1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2" i="10"/>
</calcChain>
</file>

<file path=xl/connections.xml><?xml version="1.0" encoding="utf-8"?>
<connections xmlns="http://schemas.openxmlformats.org/spreadsheetml/2006/main">
  <connection id="1" keepAlive="1" name="Consulta - goodreads_reviews" description="Conexión a la consulta 'goodreads_reviews' en el libro." type="5" refreshedVersion="8" background="1" saveData="1">
    <dbPr connection="Provider=Microsoft.Mashup.OleDb.1;Data Source=$Workbook$;Location=goodreads_reviews;Extended Properties=&quot;&quot;" command="SELECT * FROM [goodreads_reviews]"/>
  </connection>
</connections>
</file>

<file path=xl/sharedStrings.xml><?xml version="1.0" encoding="utf-8"?>
<sst xmlns="http://schemas.openxmlformats.org/spreadsheetml/2006/main" count="1094" uniqueCount="59">
  <si>
    <t>ID Venta</t>
  </si>
  <si>
    <t>Vendedor</t>
  </si>
  <si>
    <t>Región</t>
  </si>
  <si>
    <t>Producto</t>
  </si>
  <si>
    <t>Cantidad</t>
  </si>
  <si>
    <t>Precio Unitario</t>
  </si>
  <si>
    <t>Descuento (%)</t>
  </si>
  <si>
    <t>Mes</t>
  </si>
  <si>
    <t>Año</t>
  </si>
  <si>
    <t>Objetivo Mensual</t>
  </si>
  <si>
    <t>Cliente Frecuente</t>
  </si>
  <si>
    <t>Método de Pago</t>
  </si>
  <si>
    <t>Categoría Producto</t>
  </si>
  <si>
    <t>Stock Inicial</t>
  </si>
  <si>
    <t>Stock Final</t>
  </si>
  <si>
    <t>Total Bruto</t>
  </si>
  <si>
    <t>Descuento Aplicado</t>
  </si>
  <si>
    <t>Total Venta</t>
  </si>
  <si>
    <t>Ana</t>
  </si>
  <si>
    <t>Sur</t>
  </si>
  <si>
    <t>A</t>
  </si>
  <si>
    <t>Febrero</t>
  </si>
  <si>
    <t>Sí</t>
  </si>
  <si>
    <t>Transferencia</t>
  </si>
  <si>
    <t>Tecnología</t>
  </si>
  <si>
    <t>Carlos</t>
  </si>
  <si>
    <t>Norte</t>
  </si>
  <si>
    <t>D</t>
  </si>
  <si>
    <t>Marzo</t>
  </si>
  <si>
    <t>Tarjeta</t>
  </si>
  <si>
    <t>Hogar</t>
  </si>
  <si>
    <t>Este</t>
  </si>
  <si>
    <t>Mayo</t>
  </si>
  <si>
    <t>Efectivo</t>
  </si>
  <si>
    <t>María</t>
  </si>
  <si>
    <t>Abril</t>
  </si>
  <si>
    <t>No</t>
  </si>
  <si>
    <t>Oficina</t>
  </si>
  <si>
    <t>Lucía</t>
  </si>
  <si>
    <t>Oeste</t>
  </si>
  <si>
    <t>C</t>
  </si>
  <si>
    <t>Enero</t>
  </si>
  <si>
    <t>B</t>
  </si>
  <si>
    <t>Luis</t>
  </si>
  <si>
    <t>Total general</t>
  </si>
  <si>
    <t>Etiquetas de columna</t>
  </si>
  <si>
    <t>Suma de Total Venta</t>
  </si>
  <si>
    <t>Macro que actualice todo</t>
  </si>
  <si>
    <t>Macros Para copiar y borrar(Mas de un paso)</t>
  </si>
  <si>
    <t>Con botones de formulario</t>
  </si>
  <si>
    <t>Macro que carga los datos del formulario en una base</t>
  </si>
  <si>
    <t>Nombre</t>
  </si>
  <si>
    <t>Apellido</t>
  </si>
  <si>
    <t>Lugar de procedencia</t>
  </si>
  <si>
    <t>NOMBRE</t>
  </si>
  <si>
    <t>APELLIDO</t>
  </si>
  <si>
    <t>LUGAR DE PROCEDNECIA</t>
  </si>
  <si>
    <t>Macro que Limpie los segmentadores</t>
  </si>
  <si>
    <t>Macro con referencias relativas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</si>
</sst>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$&quot;\ * #,##0.00_-;\-&quot;$&quot;\ * #,##0.00_-;_-&quot;$&quot;\ * &quot;-&quot;??_-;_-@_-"/>
    <numFmt numFmtId="164" formatCode="&quot;$&quot;#,##0.00;[Red]\-&quot;$&quot;#,##0.00"/>
    <numFmt numFmtId="165" formatCode="&quot;$&quot;\ #,##0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2" borderId="0" xfId="0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44" fontId="1" fillId="0" borderId="0" xfId="0" applyNumberFormat="1" applyFont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165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3">
    <cellStyle name="Normal" xfId="0" builtinId="0"/>
    <cellStyle name="Normal 2" xfId="1"/>
    <cellStyle name="Normal 3 2" xfId="2"/>
  </cellStyles>
  <dxfs count="1">
    <dxf>
      <numFmt numFmtId="34" formatCode="_-&quot;$&quot;\ * #,##0.00_-;\-&quot;$&quot;\ * #,##0.00_-;_-&quot;$&quot;\ * &quot;-&quot;??_-;_-@_-"/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microsoft.com/office/2007/relationships/slicerCache" Target="slicerCaches/slicerCache5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4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1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[Macros.xlsx]Macro simple(Una accion por mac!TablaDinámica1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'Macro simple(Una accion por mac'!$B$3:$B$4</c:f>
              <c:strCache>
                <c:ptCount val="1"/>
                <c:pt idx="0">
                  <c:v>Este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Carlos</c:v>
                </c:pt>
                <c:pt idx="2">
                  <c:v>María</c:v>
                </c:pt>
                <c:pt idx="3">
                  <c:v>Lucía</c:v>
                </c:pt>
                <c:pt idx="4">
                  <c:v>Luis</c:v>
                </c:pt>
              </c:strCache>
            </c:strRef>
          </c:cat>
          <c:val>
            <c:numRef>
              <c:f>'Macro simple(Una accion por mac'!$B$5:$B$10</c:f>
              <c:numCache>
                <c:formatCode>_("$"* #,##0.00_);_("$"* \(#,##0.00\);_("$"* "-"??_);_(@_)</c:formatCode>
                <c:ptCount val="5"/>
                <c:pt idx="0">
                  <c:v>476429</c:v>
                </c:pt>
                <c:pt idx="1">
                  <c:v>569488</c:v>
                </c:pt>
                <c:pt idx="2">
                  <c:v>628445</c:v>
                </c:pt>
                <c:pt idx="3">
                  <c:v>92131</c:v>
                </c:pt>
                <c:pt idx="4">
                  <c:v>237533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F5-4CC9-B989-5970245254B8}"/>
            </c:ext>
          </c:extLst>
        </c:ser>
        <c:ser>
          <c:idx val="1"/>
          <c:order val="1"/>
          <c:tx>
            <c:strRef>
              <c:f>'Macro simple(Una accion por mac'!$C$3:$C$4</c:f>
              <c:strCache>
                <c:ptCount val="1"/>
                <c:pt idx="0">
                  <c:v>Norte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Carlos</c:v>
                </c:pt>
                <c:pt idx="2">
                  <c:v>María</c:v>
                </c:pt>
                <c:pt idx="3">
                  <c:v>Lucía</c:v>
                </c:pt>
                <c:pt idx="4">
                  <c:v>Luis</c:v>
                </c:pt>
              </c:strCache>
            </c:strRef>
          </c:cat>
          <c:val>
            <c:numRef>
              <c:f>'Macro simple(Una accion por mac'!$C$5:$C$10</c:f>
              <c:numCache>
                <c:formatCode>_("$"* #,##0.00_);_("$"* \(#,##0.00\);_("$"* "-"??_);_(@_)</c:formatCode>
                <c:ptCount val="5"/>
                <c:pt idx="0">
                  <c:v>472788</c:v>
                </c:pt>
                <c:pt idx="1">
                  <c:v>229054</c:v>
                </c:pt>
                <c:pt idx="2">
                  <c:v>331896</c:v>
                </c:pt>
                <c:pt idx="3">
                  <c:v>353072</c:v>
                </c:pt>
                <c:pt idx="4">
                  <c:v>292396</c:v>
                </c:pt>
              </c:numCache>
            </c:numRef>
          </c:val>
        </c:ser>
        <c:ser>
          <c:idx val="2"/>
          <c:order val="2"/>
          <c:tx>
            <c:strRef>
              <c:f>'Macro simple(Una accion por mac'!$D$3:$D$4</c:f>
              <c:strCache>
                <c:ptCount val="1"/>
                <c:pt idx="0">
                  <c:v>Oeste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Carlos</c:v>
                </c:pt>
                <c:pt idx="2">
                  <c:v>María</c:v>
                </c:pt>
                <c:pt idx="3">
                  <c:v>Lucía</c:v>
                </c:pt>
                <c:pt idx="4">
                  <c:v>Luis</c:v>
                </c:pt>
              </c:strCache>
            </c:strRef>
          </c:cat>
          <c:val>
            <c:numRef>
              <c:f>'Macro simple(Una accion por mac'!$D$5:$D$10</c:f>
              <c:numCache>
                <c:formatCode>_("$"* #,##0.00_);_("$"* \(#,##0.00\);_("$"* "-"??_);_(@_)</c:formatCode>
                <c:ptCount val="5"/>
                <c:pt idx="0">
                  <c:v>555253</c:v>
                </c:pt>
                <c:pt idx="1">
                  <c:v>623053</c:v>
                </c:pt>
                <c:pt idx="2">
                  <c:v>368945</c:v>
                </c:pt>
                <c:pt idx="3">
                  <c:v>291521</c:v>
                </c:pt>
                <c:pt idx="4">
                  <c:v>301897</c:v>
                </c:pt>
              </c:numCache>
            </c:numRef>
          </c:val>
        </c:ser>
        <c:ser>
          <c:idx val="3"/>
          <c:order val="3"/>
          <c:tx>
            <c:strRef>
              <c:f>'Macro simple(Una accion por mac'!$E$3:$E$4</c:f>
              <c:strCache>
                <c:ptCount val="1"/>
                <c:pt idx="0">
                  <c:v>Sur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Carlos</c:v>
                </c:pt>
                <c:pt idx="2">
                  <c:v>María</c:v>
                </c:pt>
                <c:pt idx="3">
                  <c:v>Lucía</c:v>
                </c:pt>
                <c:pt idx="4">
                  <c:v>Luis</c:v>
                </c:pt>
              </c:strCache>
            </c:strRef>
          </c:cat>
          <c:val>
            <c:numRef>
              <c:f>'Macro simple(Una accion por mac'!$E$5:$E$10</c:f>
              <c:numCache>
                <c:formatCode>_("$"* #,##0.00_);_("$"* \(#,##0.00\);_("$"* "-"??_);_(@_)</c:formatCode>
                <c:ptCount val="5"/>
                <c:pt idx="0">
                  <c:v>570724</c:v>
                </c:pt>
                <c:pt idx="1">
                  <c:v>444322</c:v>
                </c:pt>
                <c:pt idx="2">
                  <c:v>512902</c:v>
                </c:pt>
                <c:pt idx="3">
                  <c:v>566903</c:v>
                </c:pt>
                <c:pt idx="4">
                  <c:v>328577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417680"/>
        <c:axId val="1096416048"/>
      </c:barChart>
      <c:catAx>
        <c:axId val="109641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6416048"/>
        <c:crosses val="autoZero"/>
        <c:auto val="1"/>
        <c:lblAlgn val="ctr"/>
        <c:lblOffset val="100"/>
        <c:noMultiLvlLbl val="0"/>
      </c:catAx>
      <c:valAx>
        <c:axId val="109641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641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[Macros.xlsx]Macro simple(Una accion por mac!TablaDinámica1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'Macro simple(Una accion por mac'!$B$3:$B$4</c:f>
              <c:strCache>
                <c:ptCount val="1"/>
                <c:pt idx="0">
                  <c:v>Este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A0D4-49BA-B7B6-6DB5DCE6CA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Carlos</c:v>
                </c:pt>
                <c:pt idx="2">
                  <c:v>María</c:v>
                </c:pt>
                <c:pt idx="3">
                  <c:v>Lucía</c:v>
                </c:pt>
                <c:pt idx="4">
                  <c:v>Luis</c:v>
                </c:pt>
              </c:strCache>
            </c:strRef>
          </c:cat>
          <c:val>
            <c:numRef>
              <c:f>'Macro simple(Una accion por mac'!$B$5:$B$10</c:f>
              <c:numCache>
                <c:formatCode>_("$"* #,##0.00_);_("$"* \(#,##0.00\);_("$"* "-"??_);_(@_)</c:formatCode>
                <c:ptCount val="5"/>
                <c:pt idx="0">
                  <c:v>476429</c:v>
                </c:pt>
                <c:pt idx="1">
                  <c:v>569488</c:v>
                </c:pt>
                <c:pt idx="2">
                  <c:v>628445</c:v>
                </c:pt>
                <c:pt idx="3">
                  <c:v>92131</c:v>
                </c:pt>
                <c:pt idx="4">
                  <c:v>237533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4A2-4271-87ED-EC493D2E5E36}"/>
            </c:ext>
          </c:extLst>
        </c:ser>
        <c:ser>
          <c:idx val="1"/>
          <c:order val="1"/>
          <c:tx>
            <c:strRef>
              <c:f>'Macro simple(Una accion por mac'!$C$3:$C$4</c:f>
              <c:strCache>
                <c:ptCount val="1"/>
                <c:pt idx="0">
                  <c:v>Norte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Carlos</c:v>
                </c:pt>
                <c:pt idx="2">
                  <c:v>María</c:v>
                </c:pt>
                <c:pt idx="3">
                  <c:v>Lucía</c:v>
                </c:pt>
                <c:pt idx="4">
                  <c:v>Luis</c:v>
                </c:pt>
              </c:strCache>
            </c:strRef>
          </c:cat>
          <c:val>
            <c:numRef>
              <c:f>'Macro simple(Una accion por mac'!$C$5:$C$10</c:f>
              <c:numCache>
                <c:formatCode>_("$"* #,##0.00_);_("$"* \(#,##0.00\);_("$"* "-"??_);_(@_)</c:formatCode>
                <c:ptCount val="5"/>
                <c:pt idx="0">
                  <c:v>472788</c:v>
                </c:pt>
                <c:pt idx="1">
                  <c:v>229054</c:v>
                </c:pt>
                <c:pt idx="2">
                  <c:v>331896</c:v>
                </c:pt>
                <c:pt idx="3">
                  <c:v>353072</c:v>
                </c:pt>
                <c:pt idx="4">
                  <c:v>292396</c:v>
                </c:pt>
              </c:numCache>
            </c:numRef>
          </c:val>
        </c:ser>
        <c:ser>
          <c:idx val="2"/>
          <c:order val="2"/>
          <c:tx>
            <c:strRef>
              <c:f>'Macro simple(Una accion por mac'!$D$3:$D$4</c:f>
              <c:strCache>
                <c:ptCount val="1"/>
                <c:pt idx="0">
                  <c:v>Oeste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Carlos</c:v>
                </c:pt>
                <c:pt idx="2">
                  <c:v>María</c:v>
                </c:pt>
                <c:pt idx="3">
                  <c:v>Lucía</c:v>
                </c:pt>
                <c:pt idx="4">
                  <c:v>Luis</c:v>
                </c:pt>
              </c:strCache>
            </c:strRef>
          </c:cat>
          <c:val>
            <c:numRef>
              <c:f>'Macro simple(Una accion por mac'!$D$5:$D$10</c:f>
              <c:numCache>
                <c:formatCode>_("$"* #,##0.00_);_("$"* \(#,##0.00\);_("$"* "-"??_);_(@_)</c:formatCode>
                <c:ptCount val="5"/>
                <c:pt idx="0">
                  <c:v>555253</c:v>
                </c:pt>
                <c:pt idx="1">
                  <c:v>623053</c:v>
                </c:pt>
                <c:pt idx="2">
                  <c:v>368945</c:v>
                </c:pt>
                <c:pt idx="3">
                  <c:v>291521</c:v>
                </c:pt>
                <c:pt idx="4">
                  <c:v>301897</c:v>
                </c:pt>
              </c:numCache>
            </c:numRef>
          </c:val>
        </c:ser>
        <c:ser>
          <c:idx val="3"/>
          <c:order val="3"/>
          <c:tx>
            <c:strRef>
              <c:f>'Macro simple(Una accion por mac'!$E$3:$E$4</c:f>
              <c:strCache>
                <c:ptCount val="1"/>
                <c:pt idx="0">
                  <c:v>Sur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Carlos</c:v>
                </c:pt>
                <c:pt idx="2">
                  <c:v>María</c:v>
                </c:pt>
                <c:pt idx="3">
                  <c:v>Lucía</c:v>
                </c:pt>
                <c:pt idx="4">
                  <c:v>Luis</c:v>
                </c:pt>
              </c:strCache>
            </c:strRef>
          </c:cat>
          <c:val>
            <c:numRef>
              <c:f>'Macro simple(Una accion por mac'!$E$5:$E$10</c:f>
              <c:numCache>
                <c:formatCode>_("$"* #,##0.00_);_("$"* \(#,##0.00\);_("$"* "-"??_);_(@_)</c:formatCode>
                <c:ptCount val="5"/>
                <c:pt idx="0">
                  <c:v>570724</c:v>
                </c:pt>
                <c:pt idx="1">
                  <c:v>444322</c:v>
                </c:pt>
                <c:pt idx="2">
                  <c:v>512902</c:v>
                </c:pt>
                <c:pt idx="3">
                  <c:v>566903</c:v>
                </c:pt>
                <c:pt idx="4">
                  <c:v>328577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[Macros.xlsx]Macro simple(Una accion por mac!TablaDinámica1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</c:pivotFmt>
      <c:pivotFmt>
        <c:idx val="50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1"/>
        <c:spPr>
          <a:solidFill>
            <a:schemeClr val="accent2"/>
          </a:solidFill>
          <a:ln>
            <a:noFill/>
          </a:ln>
          <a:effectLst/>
        </c:spPr>
      </c:pivotFmt>
      <c:pivotFmt>
        <c:idx val="52"/>
        <c:spPr>
          <a:solidFill>
            <a:schemeClr val="accent2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  <c:pivotFmt>
        <c:idx val="54"/>
        <c:spPr>
          <a:solidFill>
            <a:schemeClr val="accent2"/>
          </a:solidFill>
          <a:ln>
            <a:noFill/>
          </a:ln>
          <a:effectLst/>
        </c:spPr>
      </c:pivotFmt>
      <c:pivotFmt>
        <c:idx val="55"/>
        <c:spPr>
          <a:solidFill>
            <a:schemeClr val="accent2"/>
          </a:solidFill>
          <a:ln>
            <a:noFill/>
          </a:ln>
          <a:effectLst/>
        </c:spPr>
      </c:pivotFmt>
      <c:pivotFmt>
        <c:idx val="56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57"/>
        <c:spPr>
          <a:solidFill>
            <a:schemeClr val="accent3"/>
          </a:solidFill>
          <a:ln>
            <a:noFill/>
          </a:ln>
          <a:effectLst/>
        </c:spPr>
      </c:pivotFmt>
      <c:pivotFmt>
        <c:idx val="58"/>
        <c:spPr>
          <a:solidFill>
            <a:schemeClr val="accent3"/>
          </a:solidFill>
          <a:ln>
            <a:noFill/>
          </a:ln>
          <a:effectLst/>
        </c:spPr>
      </c:pivotFmt>
      <c:pivotFmt>
        <c:idx val="59"/>
        <c:spPr>
          <a:solidFill>
            <a:schemeClr val="accent3"/>
          </a:solidFill>
          <a:ln>
            <a:noFill/>
          </a:ln>
          <a:effectLst/>
        </c:spPr>
      </c:pivotFmt>
      <c:pivotFmt>
        <c:idx val="60"/>
        <c:spPr>
          <a:solidFill>
            <a:schemeClr val="accent3"/>
          </a:solidFill>
          <a:ln>
            <a:noFill/>
          </a:ln>
          <a:effectLst/>
        </c:spPr>
      </c:pivotFmt>
      <c:pivotFmt>
        <c:idx val="61"/>
        <c:spPr>
          <a:solidFill>
            <a:schemeClr val="accent3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 w="25400">
            <a:noFill/>
          </a:ln>
          <a:effectLst/>
        </c:spPr>
        <c:marker>
          <c:symbol val="none"/>
        </c:marker>
      </c:pivotFmt>
      <c:pivotFmt>
        <c:idx val="63"/>
        <c:spPr>
          <a:solidFill>
            <a:schemeClr val="accent4"/>
          </a:solidFill>
          <a:ln>
            <a:noFill/>
          </a:ln>
          <a:effectLst/>
        </c:spPr>
      </c:pivotFmt>
      <c:pivotFmt>
        <c:idx val="64"/>
        <c:spPr>
          <a:solidFill>
            <a:schemeClr val="accent4"/>
          </a:solidFill>
          <a:ln>
            <a:noFill/>
          </a:ln>
          <a:effectLst/>
        </c:spPr>
      </c:pivotFmt>
      <c:pivotFmt>
        <c:idx val="65"/>
        <c:spPr>
          <a:solidFill>
            <a:schemeClr val="accent4"/>
          </a:solidFill>
          <a:ln>
            <a:noFill/>
          </a:ln>
          <a:effectLst/>
        </c:spPr>
      </c:pivotFmt>
      <c:pivotFmt>
        <c:idx val="66"/>
        <c:spPr>
          <a:solidFill>
            <a:schemeClr val="accent4"/>
          </a:solidFill>
          <a:ln>
            <a:noFill/>
          </a:ln>
          <a:effectLst/>
        </c:spPr>
      </c:pivotFmt>
      <c:pivotFmt>
        <c:idx val="67"/>
        <c:spPr>
          <a:solidFill>
            <a:schemeClr val="accent4"/>
          </a:solidFill>
          <a:ln>
            <a:noFill/>
          </a:ln>
          <a:effectLst/>
        </c:spP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'Macro simple(Una accion por mac'!$B$3:$B$4</c:f>
              <c:strCache>
                <c:ptCount val="1"/>
                <c:pt idx="0">
                  <c:v>Este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80E6-4F8D-9E47-2AC3222DB324}"/>
              </c:ext>
            </c:extLst>
          </c:dPt>
          <c:dPt>
            <c:idx val="1"/>
            <c:bubble3D val="0"/>
          </c:dPt>
          <c:dPt>
            <c:idx val="2"/>
            <c:bubble3D val="0"/>
          </c:dPt>
          <c:dPt>
            <c:idx val="3"/>
            <c:bubble3D val="0"/>
          </c:dPt>
          <c:dPt>
            <c:idx val="4"/>
            <c:bubble3D val="0"/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Carlos</c:v>
                </c:pt>
                <c:pt idx="2">
                  <c:v>María</c:v>
                </c:pt>
                <c:pt idx="3">
                  <c:v>Lucía</c:v>
                </c:pt>
                <c:pt idx="4">
                  <c:v>Luis</c:v>
                </c:pt>
              </c:strCache>
            </c:strRef>
          </c:cat>
          <c:val>
            <c:numRef>
              <c:f>'Macro simple(Una accion por mac'!$B$5:$B$10</c:f>
              <c:numCache>
                <c:formatCode>_("$"* #,##0.00_);_("$"* \(#,##0.00\);_("$"* "-"??_);_(@_)</c:formatCode>
                <c:ptCount val="5"/>
                <c:pt idx="0">
                  <c:v>476429</c:v>
                </c:pt>
                <c:pt idx="1">
                  <c:v>569488</c:v>
                </c:pt>
                <c:pt idx="2">
                  <c:v>628445</c:v>
                </c:pt>
                <c:pt idx="3">
                  <c:v>92131</c:v>
                </c:pt>
                <c:pt idx="4">
                  <c:v>237533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80E6-4F8D-9E47-2AC3222DB324}"/>
            </c:ext>
          </c:extLst>
        </c:ser>
        <c:ser>
          <c:idx val="1"/>
          <c:order val="1"/>
          <c:tx>
            <c:strRef>
              <c:f>'Macro simple(Una accion por mac'!$C$3:$C$4</c:f>
              <c:strCache>
                <c:ptCount val="1"/>
                <c:pt idx="0">
                  <c:v>Norte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Carlos</c:v>
                </c:pt>
                <c:pt idx="2">
                  <c:v>María</c:v>
                </c:pt>
                <c:pt idx="3">
                  <c:v>Lucía</c:v>
                </c:pt>
                <c:pt idx="4">
                  <c:v>Luis</c:v>
                </c:pt>
              </c:strCache>
            </c:strRef>
          </c:cat>
          <c:val>
            <c:numRef>
              <c:f>'Macro simple(Una accion por mac'!$C$5:$C$10</c:f>
              <c:numCache>
                <c:formatCode>_("$"* #,##0.00_);_("$"* \(#,##0.00\);_("$"* "-"??_);_(@_)</c:formatCode>
                <c:ptCount val="5"/>
                <c:pt idx="0">
                  <c:v>472788</c:v>
                </c:pt>
                <c:pt idx="1">
                  <c:v>229054</c:v>
                </c:pt>
                <c:pt idx="2">
                  <c:v>331896</c:v>
                </c:pt>
                <c:pt idx="3">
                  <c:v>353072</c:v>
                </c:pt>
                <c:pt idx="4">
                  <c:v>292396</c:v>
                </c:pt>
              </c:numCache>
            </c:numRef>
          </c:val>
        </c:ser>
        <c:ser>
          <c:idx val="2"/>
          <c:order val="2"/>
          <c:tx>
            <c:strRef>
              <c:f>'Macro simple(Una accion por mac'!$D$3:$D$4</c:f>
              <c:strCache>
                <c:ptCount val="1"/>
                <c:pt idx="0">
                  <c:v>Oeste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dPt>
            <c:idx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Carlos</c:v>
                </c:pt>
                <c:pt idx="2">
                  <c:v>María</c:v>
                </c:pt>
                <c:pt idx="3">
                  <c:v>Lucía</c:v>
                </c:pt>
                <c:pt idx="4">
                  <c:v>Luis</c:v>
                </c:pt>
              </c:strCache>
            </c:strRef>
          </c:cat>
          <c:val>
            <c:numRef>
              <c:f>'Macro simple(Una accion por mac'!$D$5:$D$10</c:f>
              <c:numCache>
                <c:formatCode>_("$"* #,##0.00_);_("$"* \(#,##0.00\);_("$"* "-"??_);_(@_)</c:formatCode>
                <c:ptCount val="5"/>
                <c:pt idx="0">
                  <c:v>555253</c:v>
                </c:pt>
                <c:pt idx="1">
                  <c:v>623053</c:v>
                </c:pt>
                <c:pt idx="2">
                  <c:v>368945</c:v>
                </c:pt>
                <c:pt idx="3">
                  <c:v>291521</c:v>
                </c:pt>
                <c:pt idx="4">
                  <c:v>301897</c:v>
                </c:pt>
              </c:numCache>
            </c:numRef>
          </c:val>
        </c:ser>
        <c:ser>
          <c:idx val="3"/>
          <c:order val="3"/>
          <c:tx>
            <c:strRef>
              <c:f>'Macro simple(Una accion por mac'!$E$3:$E$4</c:f>
              <c:strCache>
                <c:ptCount val="1"/>
                <c:pt idx="0">
                  <c:v>Sur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dPt>
            <c:idx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Carlos</c:v>
                </c:pt>
                <c:pt idx="2">
                  <c:v>María</c:v>
                </c:pt>
                <c:pt idx="3">
                  <c:v>Lucía</c:v>
                </c:pt>
                <c:pt idx="4">
                  <c:v>Luis</c:v>
                </c:pt>
              </c:strCache>
            </c:strRef>
          </c:cat>
          <c:val>
            <c:numRef>
              <c:f>'Macro simple(Una accion por mac'!$E$5:$E$10</c:f>
              <c:numCache>
                <c:formatCode>_("$"* #,##0.00_);_("$"* \(#,##0.00\);_("$"* "-"??_);_(@_)</c:formatCode>
                <c:ptCount val="5"/>
                <c:pt idx="0">
                  <c:v>570724</c:v>
                </c:pt>
                <c:pt idx="1">
                  <c:v>444322</c:v>
                </c:pt>
                <c:pt idx="2">
                  <c:v>512902</c:v>
                </c:pt>
                <c:pt idx="3">
                  <c:v>566903</c:v>
                </c:pt>
                <c:pt idx="4">
                  <c:v>328577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6418768"/>
        <c:axId val="1096421488"/>
      </c:areaChart>
      <c:catAx>
        <c:axId val="109641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6421488"/>
        <c:crosses val="autoZero"/>
        <c:auto val="1"/>
        <c:lblAlgn val="ctr"/>
        <c:lblOffset val="100"/>
        <c:noMultiLvlLbl val="0"/>
      </c:catAx>
      <c:valAx>
        <c:axId val="109642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6418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[Macros.xlsx]Macro simple(Una accion por mac!TablaDinámica1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2"/>
          </a:solidFill>
          <a:ln>
            <a:noFill/>
          </a:ln>
          <a:effectLst/>
        </c:spPr>
      </c:pivotFmt>
      <c:pivotFmt>
        <c:idx val="76"/>
        <c:spPr>
          <a:solidFill>
            <a:schemeClr val="accent2"/>
          </a:solidFill>
          <a:ln>
            <a:noFill/>
          </a:ln>
          <a:effectLst/>
        </c:spPr>
      </c:pivotFmt>
      <c:pivotFmt>
        <c:idx val="77"/>
        <c:spPr>
          <a:solidFill>
            <a:schemeClr val="accent2"/>
          </a:solidFill>
          <a:ln>
            <a:noFill/>
          </a:ln>
          <a:effectLst/>
        </c:spPr>
      </c:pivotFmt>
      <c:pivotFmt>
        <c:idx val="78"/>
        <c:spPr>
          <a:solidFill>
            <a:schemeClr val="accent2"/>
          </a:solidFill>
          <a:ln>
            <a:noFill/>
          </a:ln>
          <a:effectLst/>
        </c:spPr>
      </c:pivotFmt>
      <c:pivotFmt>
        <c:idx val="79"/>
        <c:spPr>
          <a:solidFill>
            <a:schemeClr val="accent2"/>
          </a:solidFill>
          <a:ln>
            <a:noFill/>
          </a:ln>
          <a:effectLst/>
        </c:spP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3"/>
          </a:solidFill>
          <a:ln>
            <a:noFill/>
          </a:ln>
          <a:effectLst/>
        </c:spPr>
      </c:pivotFmt>
      <c:pivotFmt>
        <c:idx val="82"/>
        <c:spPr>
          <a:solidFill>
            <a:schemeClr val="accent3"/>
          </a:solidFill>
          <a:ln>
            <a:noFill/>
          </a:ln>
          <a:effectLst/>
        </c:spPr>
      </c:pivotFmt>
      <c:pivotFmt>
        <c:idx val="83"/>
        <c:spPr>
          <a:solidFill>
            <a:schemeClr val="accent3"/>
          </a:solidFill>
          <a:ln>
            <a:noFill/>
          </a:ln>
          <a:effectLst/>
        </c:spPr>
      </c:pivotFmt>
      <c:pivotFmt>
        <c:idx val="84"/>
        <c:spPr>
          <a:solidFill>
            <a:schemeClr val="accent3"/>
          </a:solidFill>
          <a:ln>
            <a:noFill/>
          </a:ln>
          <a:effectLst/>
        </c:spPr>
      </c:pivotFmt>
      <c:pivotFmt>
        <c:idx val="85"/>
        <c:spPr>
          <a:solidFill>
            <a:schemeClr val="accent3"/>
          </a:solidFill>
          <a:ln>
            <a:noFill/>
          </a:ln>
          <a:effectLst/>
        </c:spP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4"/>
          </a:solidFill>
          <a:ln>
            <a:noFill/>
          </a:ln>
          <a:effectLst/>
        </c:spPr>
      </c:pivotFmt>
      <c:pivotFmt>
        <c:idx val="88"/>
        <c:spPr>
          <a:solidFill>
            <a:schemeClr val="accent4"/>
          </a:solidFill>
          <a:ln>
            <a:noFill/>
          </a:ln>
          <a:effectLst/>
        </c:spPr>
      </c:pivotFmt>
      <c:pivotFmt>
        <c:idx val="89"/>
        <c:spPr>
          <a:solidFill>
            <a:schemeClr val="accent4"/>
          </a:solidFill>
          <a:ln>
            <a:noFill/>
          </a:ln>
          <a:effectLst/>
        </c:spPr>
      </c:pivotFmt>
      <c:pivotFmt>
        <c:idx val="90"/>
        <c:spPr>
          <a:solidFill>
            <a:schemeClr val="accent4"/>
          </a:solidFill>
          <a:ln>
            <a:noFill/>
          </a:ln>
          <a:effectLst/>
        </c:spPr>
      </c:pivotFmt>
      <c:pivotFmt>
        <c:idx val="91"/>
        <c:spPr>
          <a:solidFill>
            <a:schemeClr val="accent4"/>
          </a:solidFill>
          <a:ln>
            <a:noFill/>
          </a:ln>
          <a:effectLst/>
        </c:spPr>
      </c:pivotFmt>
      <c:pivotFmt>
        <c:idx val="9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0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0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0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</c:pivotFmt>
      <c:pivotFmt>
        <c:idx val="10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5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06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0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08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09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</c:pivotFmt>
      <c:pivotFmt>
        <c:idx val="1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1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112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113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114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  <c:pivotFmt>
        <c:idx val="115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'Macro simple(Una accion por mac'!$B$3:$B$4</c:f>
              <c:strCache>
                <c:ptCount val="1"/>
                <c:pt idx="0">
                  <c:v>Este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6C4-4F32-B973-1DEA6006B87D}"/>
              </c:ext>
            </c:extLst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Carlos</c:v>
                </c:pt>
                <c:pt idx="2">
                  <c:v>María</c:v>
                </c:pt>
                <c:pt idx="3">
                  <c:v>Lucía</c:v>
                </c:pt>
                <c:pt idx="4">
                  <c:v>Luis</c:v>
                </c:pt>
              </c:strCache>
            </c:strRef>
          </c:cat>
          <c:val>
            <c:numRef>
              <c:f>'Macro simple(Una accion por mac'!$B$5:$B$10</c:f>
              <c:numCache>
                <c:formatCode>_("$"* #,##0.00_);_("$"* \(#,##0.00\);_("$"* "-"??_);_(@_)</c:formatCode>
                <c:ptCount val="5"/>
                <c:pt idx="0">
                  <c:v>476429</c:v>
                </c:pt>
                <c:pt idx="1">
                  <c:v>569488</c:v>
                </c:pt>
                <c:pt idx="2">
                  <c:v>628445</c:v>
                </c:pt>
                <c:pt idx="3">
                  <c:v>92131</c:v>
                </c:pt>
                <c:pt idx="4">
                  <c:v>237533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36C4-4F32-B973-1DEA6006B87D}"/>
            </c:ext>
          </c:extLst>
        </c:ser>
        <c:ser>
          <c:idx val="1"/>
          <c:order val="1"/>
          <c:tx>
            <c:strRef>
              <c:f>'Macro simple(Una accion por mac'!$C$3:$C$4</c:f>
              <c:strCache>
                <c:ptCount val="1"/>
                <c:pt idx="0">
                  <c:v>Norte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Carlos</c:v>
                </c:pt>
                <c:pt idx="2">
                  <c:v>María</c:v>
                </c:pt>
                <c:pt idx="3">
                  <c:v>Lucía</c:v>
                </c:pt>
                <c:pt idx="4">
                  <c:v>Luis</c:v>
                </c:pt>
              </c:strCache>
            </c:strRef>
          </c:cat>
          <c:val>
            <c:numRef>
              <c:f>'Macro simple(Una accion por mac'!$C$5:$C$10</c:f>
              <c:numCache>
                <c:formatCode>_("$"* #,##0.00_);_("$"* \(#,##0.00\);_("$"* "-"??_);_(@_)</c:formatCode>
                <c:ptCount val="5"/>
                <c:pt idx="0">
                  <c:v>472788</c:v>
                </c:pt>
                <c:pt idx="1">
                  <c:v>229054</c:v>
                </c:pt>
                <c:pt idx="2">
                  <c:v>331896</c:v>
                </c:pt>
                <c:pt idx="3">
                  <c:v>353072</c:v>
                </c:pt>
                <c:pt idx="4">
                  <c:v>292396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'Macro simple(Una accion por mac'!$D$3:$D$4</c:f>
              <c:strCache>
                <c:ptCount val="1"/>
                <c:pt idx="0">
                  <c:v>Oeste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3"/>
                </a:solidFill>
                <a:round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Carlos</c:v>
                </c:pt>
                <c:pt idx="2">
                  <c:v>María</c:v>
                </c:pt>
                <c:pt idx="3">
                  <c:v>Lucía</c:v>
                </c:pt>
                <c:pt idx="4">
                  <c:v>Luis</c:v>
                </c:pt>
              </c:strCache>
            </c:strRef>
          </c:cat>
          <c:val>
            <c:numRef>
              <c:f>'Macro simple(Una accion por mac'!$D$5:$D$10</c:f>
              <c:numCache>
                <c:formatCode>_("$"* #,##0.00_);_("$"* \(#,##0.00\);_("$"* "-"??_);_(@_)</c:formatCode>
                <c:ptCount val="5"/>
                <c:pt idx="0">
                  <c:v>555253</c:v>
                </c:pt>
                <c:pt idx="1">
                  <c:v>623053</c:v>
                </c:pt>
                <c:pt idx="2">
                  <c:v>368945</c:v>
                </c:pt>
                <c:pt idx="3">
                  <c:v>291521</c:v>
                </c:pt>
                <c:pt idx="4">
                  <c:v>301897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'Macro simple(Una accion por mac'!$E$3:$E$4</c:f>
              <c:strCache>
                <c:ptCount val="1"/>
                <c:pt idx="0">
                  <c:v>Sur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1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3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4"/>
                </a:solidFill>
                <a:round/>
              </a:ln>
              <a:effectLst/>
            </c:spPr>
          </c:dPt>
          <c:cat>
            <c:strRef>
              <c:f>'Macro simple(Una accion por mac'!$A$5:$A$10</c:f>
              <c:strCache>
                <c:ptCount val="5"/>
                <c:pt idx="0">
                  <c:v>Ana</c:v>
                </c:pt>
                <c:pt idx="1">
                  <c:v>Carlos</c:v>
                </c:pt>
                <c:pt idx="2">
                  <c:v>María</c:v>
                </c:pt>
                <c:pt idx="3">
                  <c:v>Lucía</c:v>
                </c:pt>
                <c:pt idx="4">
                  <c:v>Luis</c:v>
                </c:pt>
              </c:strCache>
            </c:strRef>
          </c:cat>
          <c:val>
            <c:numRef>
              <c:f>'Macro simple(Una accion por mac'!$E$5:$E$10</c:f>
              <c:numCache>
                <c:formatCode>_("$"* #,##0.00_);_("$"* \(#,##0.00\);_("$"* "-"??_);_(@_)</c:formatCode>
                <c:ptCount val="5"/>
                <c:pt idx="0">
                  <c:v>570724</c:v>
                </c:pt>
                <c:pt idx="1">
                  <c:v>444322</c:v>
                </c:pt>
                <c:pt idx="2">
                  <c:v>512902</c:v>
                </c:pt>
                <c:pt idx="3">
                  <c:v>566903</c:v>
                </c:pt>
                <c:pt idx="4">
                  <c:v>328577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6410608"/>
        <c:axId val="1096413328"/>
      </c:lineChart>
      <c:catAx>
        <c:axId val="1096410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6413328"/>
        <c:crosses val="autoZero"/>
        <c:auto val="1"/>
        <c:lblAlgn val="ctr"/>
        <c:lblOffset val="100"/>
        <c:noMultiLvlLbl val="0"/>
      </c:catAx>
      <c:valAx>
        <c:axId val="109641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09641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438150</xdr:colOff>
      <xdr:row>2</xdr:row>
      <xdr:rowOff>66675</xdr:rowOff>
    </xdr:from>
    <xdr:to>
      <xdr:col>10</xdr:col>
      <xdr:colOff>772741</xdr:colOff>
      <xdr:row>19</xdr:row>
      <xdr:rowOff>143315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428625"/>
          <a:ext cx="8716591" cy="3153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2</xdr:row>
      <xdr:rowOff>171450</xdr:rowOff>
    </xdr:from>
    <xdr:to>
      <xdr:col>11</xdr:col>
      <xdr:colOff>553777</xdr:colOff>
      <xdr:row>28</xdr:row>
      <xdr:rowOff>162580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533400"/>
          <a:ext cx="9507277" cy="469648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12</xdr:col>
      <xdr:colOff>483290</xdr:colOff>
      <xdr:row>29</xdr:row>
      <xdr:rowOff>152400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0EF1D00C-C69D-04ED-7BE7-DDA8E326E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9627289" cy="5400674"/>
        </a:xfrm>
        <a:prstGeom prst="rect">
          <a:avLst/>
        </a:prstGeom>
      </xdr:spPr>
    </xdr:pic>
    <xdr:clientData/>
  </xdr:twoCellAnchor>
  <xdr:twoCellAnchor>
    <xdr:from>
      <xdr:col>12</xdr:col>
      <xdr:colOff>509587</xdr:colOff>
      <xdr:row>13</xdr:row>
      <xdr:rowOff>19050</xdr:rowOff>
    </xdr:from>
    <xdr:to>
      <xdr:col>15</xdr:col>
      <xdr:colOff>476250</xdr:colOff>
      <xdr:row>22</xdr:row>
      <xdr:rowOff>38100</xdr:rowOff>
    </xdr:to>
    <xdr:sp macro="" textlink="">
      <xdr:nvSpPr>
        <xdr:cNvPr id="3" name="Rectángulo 2">
          <a:extLst>
            <a:ext uri="{FF2B5EF4-FFF2-40B4-BE49-F238E27FC236}">
              <a16:creationId xmlns="" xmlns:a16="http://schemas.microsoft.com/office/drawing/2014/main" id="{C60CF7B5-E459-3F85-6E83-50853CA6A0E2}"/>
            </a:ext>
          </a:extLst>
        </xdr:cNvPr>
        <xdr:cNvSpPr/>
      </xdr:nvSpPr>
      <xdr:spPr>
        <a:xfrm>
          <a:off x="9653587" y="2371725"/>
          <a:ext cx="2252663" cy="1647825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>
              <a:solidFill>
                <a:sysClr val="windowText" lastClr="000000"/>
              </a:solidFill>
            </a:rPr>
            <a:t>Puede aparecer como:</a:t>
          </a:r>
        </a:p>
        <a:p>
          <a:pPr algn="l"/>
          <a:endParaRPr lang="en-GB" sz="1100">
            <a:solidFill>
              <a:sysClr val="windowText" lastClr="000000"/>
            </a:solidFill>
          </a:endParaRPr>
        </a:p>
        <a:p>
          <a:pPr algn="l"/>
          <a:r>
            <a:rPr lang="en-GB" sz="1100" b="1">
              <a:solidFill>
                <a:sysClr val="windowText" lastClr="000000"/>
              </a:solidFill>
            </a:rPr>
            <a:t>Programador</a:t>
          </a:r>
        </a:p>
        <a:p>
          <a:pPr algn="l"/>
          <a:endParaRPr lang="en-GB" sz="1100" b="1">
            <a:solidFill>
              <a:sysClr val="windowText" lastClr="000000"/>
            </a:solidFill>
          </a:endParaRPr>
        </a:p>
        <a:p>
          <a:pPr algn="l"/>
          <a:r>
            <a:rPr lang="en-GB" sz="1100" b="1">
              <a:solidFill>
                <a:sysClr val="windowText" lastClr="000000"/>
              </a:solidFill>
            </a:rPr>
            <a:t>Desarrollador</a:t>
          </a:r>
        </a:p>
        <a:p>
          <a:pPr algn="l"/>
          <a:endParaRPr lang="en-GB" sz="1100" b="1">
            <a:solidFill>
              <a:sysClr val="windowText" lastClr="000000"/>
            </a:solidFill>
          </a:endParaRPr>
        </a:p>
        <a:p>
          <a:pPr algn="l"/>
          <a:r>
            <a:rPr lang="en-GB" sz="1100" b="1">
              <a:solidFill>
                <a:sysClr val="windowText" lastClr="000000"/>
              </a:solidFill>
            </a:rPr>
            <a:t>Developer</a:t>
          </a:r>
        </a:p>
        <a:p>
          <a:pPr algn="l"/>
          <a:endParaRPr lang="en-GB" sz="1100" b="1">
            <a:solidFill>
              <a:sysClr val="windowText" lastClr="000000"/>
            </a:solidFill>
          </a:endParaRPr>
        </a:p>
        <a:p>
          <a:pPr algn="l"/>
          <a:r>
            <a:rPr lang="en-GB" sz="1100" b="1">
              <a:solidFill>
                <a:sysClr val="windowText" lastClr="000000"/>
              </a:solidFill>
            </a:rPr>
            <a:t>Diseñador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12</xdr:col>
      <xdr:colOff>323850</xdr:colOff>
      <xdr:row>29</xdr:row>
      <xdr:rowOff>46598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AE093C59-5B65-5606-2D32-DCE862AE3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9467850" cy="52948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523875</xdr:colOff>
      <xdr:row>8</xdr:row>
      <xdr:rowOff>95250</xdr:rowOff>
    </xdr:from>
    <xdr:to>
      <xdr:col>15</xdr:col>
      <xdr:colOff>419511</xdr:colOff>
      <xdr:row>42</xdr:row>
      <xdr:rowOff>846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7E7FC85B-E4F0-49DE-34DF-3245C38C4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34700" y="1590675"/>
          <a:ext cx="2943636" cy="6058746"/>
        </a:xfrm>
        <a:prstGeom prst="rect">
          <a:avLst/>
        </a:prstGeom>
      </xdr:spPr>
    </xdr:pic>
    <xdr:clientData/>
  </xdr:twoCellAnchor>
  <xdr:twoCellAnchor>
    <xdr:from>
      <xdr:col>11</xdr:col>
      <xdr:colOff>576263</xdr:colOff>
      <xdr:row>3</xdr:row>
      <xdr:rowOff>142875</xdr:rowOff>
    </xdr:from>
    <xdr:to>
      <xdr:col>14</xdr:col>
      <xdr:colOff>109538</xdr:colOff>
      <xdr:row>6</xdr:row>
      <xdr:rowOff>57150</xdr:rowOff>
    </xdr:to>
    <xdr:sp macro="" textlink="">
      <xdr:nvSpPr>
        <xdr:cNvPr id="3" name="Rectángulo: esquinas redondeadas 2">
          <a:extLst>
            <a:ext uri="{FF2B5EF4-FFF2-40B4-BE49-F238E27FC236}">
              <a16:creationId xmlns="" xmlns:a16="http://schemas.microsoft.com/office/drawing/2014/main" id="{3D80797A-AECE-76B8-88C4-727D4C330310}"/>
            </a:ext>
          </a:extLst>
        </xdr:cNvPr>
        <xdr:cNvSpPr/>
      </xdr:nvSpPr>
      <xdr:spPr>
        <a:xfrm>
          <a:off x="10987088" y="733425"/>
          <a:ext cx="1819275" cy="4572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Actualizar Todo</a:t>
          </a:r>
        </a:p>
      </xdr:txBody>
    </xdr:sp>
    <xdr:clientData/>
  </xdr:twoCellAnchor>
  <xdr:twoCellAnchor>
    <xdr:from>
      <xdr:col>0</xdr:col>
      <xdr:colOff>638175</xdr:colOff>
      <xdr:row>12</xdr:row>
      <xdr:rowOff>28575</xdr:rowOff>
    </xdr:from>
    <xdr:to>
      <xdr:col>3</xdr:col>
      <xdr:colOff>638175</xdr:colOff>
      <xdr:row>20</xdr:row>
      <xdr:rowOff>9525</xdr:rowOff>
    </xdr:to>
    <xdr:sp macro="" textlink="">
      <xdr:nvSpPr>
        <xdr:cNvPr id="4" name="Rectángulo: esquinas redondeadas 3">
          <a:extLst>
            <a:ext uri="{FF2B5EF4-FFF2-40B4-BE49-F238E27FC236}">
              <a16:creationId xmlns="" xmlns:a16="http://schemas.microsoft.com/office/drawing/2014/main" id="{5F2FDDD3-6CB5-4661-9463-BC0DC73A1C7A}"/>
            </a:ext>
          </a:extLst>
        </xdr:cNvPr>
        <xdr:cNvSpPr/>
      </xdr:nvSpPr>
      <xdr:spPr>
        <a:xfrm>
          <a:off x="638175" y="2247900"/>
          <a:ext cx="3629025" cy="1428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b="1"/>
            <a:t>Las macros existen en Excel desde </a:t>
          </a:r>
          <a:r>
            <a:rPr lang="en-GB" b="1" i="1"/>
            <a:t>Excel 2.0 (1987)</a:t>
          </a:r>
          <a:r>
            <a:rPr lang="en-GB" b="1"/>
            <a:t>, pero se volvieron realmente potentes y accesibles a partir de </a:t>
          </a:r>
          <a:r>
            <a:rPr lang="en-GB" b="1" i="1"/>
            <a:t>Excel 5.0 (1993)</a:t>
          </a:r>
          <a:r>
            <a:rPr lang="en-GB" b="1"/>
            <a:t>, cuando se introdujo el editor de Visual Basic for Applications (VBA). Desde entonces, las macros permiten automatizar tareas repetitivas, crear funciones personalizadas y desarrollar soluciones completas dentro de Excel.</a:t>
          </a:r>
        </a:p>
        <a:p>
          <a:pPr algn="l"/>
          <a:endParaRPr lang="en-GB" sz="1100"/>
        </a:p>
      </xdr:txBody>
    </xdr:sp>
    <xdr:clientData/>
  </xdr:twoCellAnchor>
  <xdr:twoCellAnchor>
    <xdr:from>
      <xdr:col>7</xdr:col>
      <xdr:colOff>247650</xdr:colOff>
      <xdr:row>2</xdr:row>
      <xdr:rowOff>171449</xdr:rowOff>
    </xdr:from>
    <xdr:to>
      <xdr:col>10</xdr:col>
      <xdr:colOff>457200</xdr:colOff>
      <xdr:row>8</xdr:row>
      <xdr:rowOff>180974</xdr:rowOff>
    </xdr:to>
    <xdr:sp macro="" textlink="">
      <xdr:nvSpPr>
        <xdr:cNvPr id="5" name="CuadroTexto 4"/>
        <xdr:cNvSpPr txBox="1"/>
      </xdr:nvSpPr>
      <xdr:spPr>
        <a:xfrm>
          <a:off x="8524875" y="581024"/>
          <a:ext cx="2724150" cy="1095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Pasos</a:t>
          </a:r>
          <a:endParaRPr lang="es-AR">
            <a:effectLst/>
          </a:endParaRPr>
        </a:p>
        <a:p>
          <a:r>
            <a:rPr lang="es-AR" sz="1100"/>
            <a:t>1-Crear una macro con el nombre de actualizar.</a:t>
          </a:r>
        </a:p>
        <a:p>
          <a:r>
            <a:rPr lang="es-AR" sz="1100"/>
            <a:t>2-Grabarla para que actualice  los datos.</a:t>
          </a:r>
        </a:p>
        <a:p>
          <a:r>
            <a:rPr lang="es-AR" sz="1100"/>
            <a:t>3-Crear el boton actualizar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5</xdr:col>
      <xdr:colOff>168592</xdr:colOff>
      <xdr:row>25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="" xmlns:a16="http://schemas.microsoft.com/office/drawing/2014/main" id="{7E3FF7F6-A148-4745-A623-5A8804D00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601974</xdr:colOff>
      <xdr:row>9</xdr:row>
      <xdr:rowOff>175260</xdr:rowOff>
    </xdr:from>
    <xdr:to>
      <xdr:col>11</xdr:col>
      <xdr:colOff>379831</xdr:colOff>
      <xdr:row>24</xdr:row>
      <xdr:rowOff>175260</xdr:rowOff>
    </xdr:to>
    <xdr:graphicFrame macro="">
      <xdr:nvGraphicFramePr>
        <xdr:cNvPr id="6" name="Gráfico 5">
          <a:extLst>
            <a:ext uri="{FF2B5EF4-FFF2-40B4-BE49-F238E27FC236}">
              <a16:creationId xmlns="" xmlns:a16="http://schemas.microsoft.com/office/drawing/2014/main" id="{D313F52B-16F2-436A-A116-E9BA5177D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5</xdr:col>
      <xdr:colOff>174306</xdr:colOff>
      <xdr:row>43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="" xmlns:a16="http://schemas.microsoft.com/office/drawing/2014/main" id="{236FDC86-C082-428C-B639-B102A7D130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533400</xdr:colOff>
      <xdr:row>28</xdr:row>
      <xdr:rowOff>0</xdr:rowOff>
    </xdr:from>
    <xdr:to>
      <xdr:col>11</xdr:col>
      <xdr:colOff>311257</xdr:colOff>
      <xdr:row>43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="" xmlns:a16="http://schemas.microsoft.com/office/drawing/2014/main" id="{69B5A74E-7A98-4CBA-8AE3-9A5FFF31D1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949</xdr:colOff>
      <xdr:row>2</xdr:row>
      <xdr:rowOff>150492</xdr:rowOff>
    </xdr:from>
    <xdr:to>
      <xdr:col>2</xdr:col>
      <xdr:colOff>390524</xdr:colOff>
      <xdr:row>9</xdr:row>
      <xdr:rowOff>85647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Vendedor">
              <a:extLst>
                <a:ext uri="{FF2B5EF4-FFF2-40B4-BE49-F238E27FC236}">
                  <a16:creationId xmlns="" xmlns:a16="http://schemas.microsoft.com/office/drawing/2014/main" id="{9AA66D24-FF5F-D3E4-F6A4-2AAF8BCA81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4909" y="561972"/>
              <a:ext cx="1820230" cy="1213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150490</xdr:colOff>
      <xdr:row>2</xdr:row>
      <xdr:rowOff>154303</xdr:rowOff>
    </xdr:from>
    <xdr:to>
      <xdr:col>11</xdr:col>
      <xdr:colOff>456242</xdr:colOff>
      <xdr:row>9</xdr:row>
      <xdr:rowOff>81837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Región">
              <a:extLst>
                <a:ext uri="{FF2B5EF4-FFF2-40B4-BE49-F238E27FC236}">
                  <a16:creationId xmlns="" xmlns:a16="http://schemas.microsoft.com/office/drawing/2014/main" id="{6D50622C-B992-B831-0EC8-85BED99FCB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ó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35410" y="565783"/>
              <a:ext cx="1829752" cy="12105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489579</xdr:colOff>
      <xdr:row>2</xdr:row>
      <xdr:rowOff>154302</xdr:rowOff>
    </xdr:from>
    <xdr:to>
      <xdr:col>4</xdr:col>
      <xdr:colOff>343848</xdr:colOff>
      <xdr:row>9</xdr:row>
      <xdr:rowOff>89458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roducto">
              <a:extLst>
                <a:ext uri="{FF2B5EF4-FFF2-40B4-BE49-F238E27FC236}">
                  <a16:creationId xmlns="" xmlns:a16="http://schemas.microsoft.com/office/drawing/2014/main" id="{D5BCDD71-449C-7CB9-4565-57984F6526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23241" y="565782"/>
              <a:ext cx="1838327" cy="12162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472439</xdr:colOff>
      <xdr:row>2</xdr:row>
      <xdr:rowOff>151921</xdr:rowOff>
    </xdr:from>
    <xdr:to>
      <xdr:col>6</xdr:col>
      <xdr:colOff>320039</xdr:colOff>
      <xdr:row>9</xdr:row>
      <xdr:rowOff>84218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Cliente Frecuente">
              <a:extLst>
                <a:ext uri="{FF2B5EF4-FFF2-40B4-BE49-F238E27FC236}">
                  <a16:creationId xmlns="" xmlns:a16="http://schemas.microsoft.com/office/drawing/2014/main" id="{EA6D2D00-627C-C46A-34E7-BB64B46F7F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Frecu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91111" y="563401"/>
              <a:ext cx="1828800" cy="12105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434337</xdr:colOff>
      <xdr:row>2</xdr:row>
      <xdr:rowOff>150492</xdr:rowOff>
    </xdr:from>
    <xdr:to>
      <xdr:col>8</xdr:col>
      <xdr:colOff>739137</xdr:colOff>
      <xdr:row>9</xdr:row>
      <xdr:rowOff>85647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Método de Pago">
              <a:extLst>
                <a:ext uri="{FF2B5EF4-FFF2-40B4-BE49-F238E27FC236}">
                  <a16:creationId xmlns="" xmlns:a16="http://schemas.microsoft.com/office/drawing/2014/main" id="{7EEC397B-84CB-E16D-5C76-F78B4BBA85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étodo de Pag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34209" y="561972"/>
              <a:ext cx="1828800" cy="1213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565783</xdr:colOff>
      <xdr:row>2</xdr:row>
      <xdr:rowOff>151445</xdr:rowOff>
    </xdr:from>
    <xdr:to>
      <xdr:col>14</xdr:col>
      <xdr:colOff>108583</xdr:colOff>
      <xdr:row>9</xdr:row>
      <xdr:rowOff>84695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5" name="Categoría Producto">
              <a:extLst>
                <a:ext uri="{FF2B5EF4-FFF2-40B4-BE49-F238E27FC236}">
                  <a16:creationId xmlns="" xmlns:a16="http://schemas.microsoft.com/office/drawing/2014/main" id="{9F763A81-A710-E282-ECFD-FC569BA48E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 Produc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71845" y="562925"/>
              <a:ext cx="1828800" cy="12115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12</xdr:col>
      <xdr:colOff>704850</xdr:colOff>
      <xdr:row>13</xdr:row>
      <xdr:rowOff>66675</xdr:rowOff>
    </xdr:from>
    <xdr:to>
      <xdr:col>15</xdr:col>
      <xdr:colOff>590550</xdr:colOff>
      <xdr:row>19</xdr:row>
      <xdr:rowOff>152400</xdr:rowOff>
    </xdr:to>
    <xdr:sp macro="" textlink="">
      <xdr:nvSpPr>
        <xdr:cNvPr id="2" name="CuadroTexto 1"/>
        <xdr:cNvSpPr txBox="1"/>
      </xdr:nvSpPr>
      <xdr:spPr>
        <a:xfrm>
          <a:off x="12753975" y="2466975"/>
          <a:ext cx="2314575" cy="1171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AR" sz="1100" b="1"/>
            <a:t>Pasos</a:t>
          </a:r>
        </a:p>
        <a:p>
          <a:r>
            <a:rPr lang="es-AR" sz="1100"/>
            <a:t>1-Seleccionar los segmentadores</a:t>
          </a:r>
        </a:p>
        <a:p>
          <a:r>
            <a:rPr lang="es-AR" sz="1100"/>
            <a:t>2-Grabamos macro</a:t>
          </a:r>
          <a:r>
            <a:rPr lang="es-AR" sz="1100" baseline="0"/>
            <a:t> borrando los filtros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3-Crear el boton limpiar</a:t>
          </a:r>
          <a:endParaRPr lang="es-AR">
            <a:effectLst/>
          </a:endParaRPr>
        </a:p>
        <a:p>
          <a:endParaRPr lang="es-A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4</xdr:row>
      <xdr:rowOff>85725</xdr:rowOff>
    </xdr:from>
    <xdr:to>
      <xdr:col>14</xdr:col>
      <xdr:colOff>190500</xdr:colOff>
      <xdr:row>17</xdr:row>
      <xdr:rowOff>114300</xdr:rowOff>
    </xdr:to>
    <xdr:sp macro="" textlink="">
      <xdr:nvSpPr>
        <xdr:cNvPr id="2" name="CuadroTexto 1"/>
        <xdr:cNvSpPr txBox="1"/>
      </xdr:nvSpPr>
      <xdr:spPr>
        <a:xfrm>
          <a:off x="10429875" y="857250"/>
          <a:ext cx="2590800" cy="2390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Pasos</a:t>
          </a:r>
          <a:endParaRPr lang="es-AR" sz="1100"/>
        </a:p>
        <a:p>
          <a:r>
            <a:rPr lang="es-AR" sz="1100"/>
            <a:t>1-Generar</a:t>
          </a:r>
          <a:r>
            <a:rPr lang="es-AR" sz="1100" baseline="0"/>
            <a:t> una macro copiando y pegando la tabla que hay en la hoja macro simple</a:t>
          </a:r>
        </a:p>
        <a:p>
          <a:r>
            <a:rPr lang="es-AR" sz="1100" baseline="0"/>
            <a:t>2- Luego crear un boton de formulario con el nombre de copiar, yendo a desarrollador --&gt; insertar --&gt; boton.</a:t>
          </a:r>
        </a:p>
        <a:p>
          <a:r>
            <a:rPr lang="es-AR" sz="1100"/>
            <a:t>3-Luego crear el boton borrar, para ello grabar la macro,</a:t>
          </a:r>
          <a:r>
            <a:rPr lang="es-AR" sz="1100" baseline="0"/>
            <a:t> seleccionar la tabla y aplicar la opcion de borrar todo.</a:t>
          </a:r>
          <a:endParaRPr lang="es-A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3</xdr:row>
      <xdr:rowOff>121226</xdr:rowOff>
    </xdr:from>
    <xdr:to>
      <xdr:col>12</xdr:col>
      <xdr:colOff>779318</xdr:colOff>
      <xdr:row>14</xdr:row>
      <xdr:rowOff>77931</xdr:rowOff>
    </xdr:to>
    <xdr:sp macro="" textlink="">
      <xdr:nvSpPr>
        <xdr:cNvPr id="3" name="CuadroTexto 2"/>
        <xdr:cNvSpPr txBox="1"/>
      </xdr:nvSpPr>
      <xdr:spPr>
        <a:xfrm>
          <a:off x="9239250" y="684067"/>
          <a:ext cx="2407227" cy="20175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/>
            <a:t>Pasos</a:t>
          </a:r>
        </a:p>
        <a:p>
          <a:r>
            <a:rPr lang="es-AR" sz="1100"/>
            <a:t>1-Grabamos la macro copiando y pegando la</a:t>
          </a:r>
          <a:r>
            <a:rPr lang="es-AR" sz="1100" baseline="0"/>
            <a:t> </a:t>
          </a:r>
          <a:r>
            <a:rPr lang="es-AR" sz="1100"/>
            <a:t>macro para formulario con la hoja base del formulario, al finalizar borramos con supr las celdas para que luego queden limpias.</a:t>
          </a:r>
        </a:p>
        <a:p>
          <a:r>
            <a:rPr lang="es-AR" sz="1100"/>
            <a:t>2-Creamos</a:t>
          </a:r>
          <a:r>
            <a:rPr lang="es-AR" sz="1100" baseline="0"/>
            <a:t> un boton y lo llamamos cargar datos</a:t>
          </a:r>
          <a:endParaRPr lang="es-AR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0</xdr:row>
      <xdr:rowOff>91440</xdr:rowOff>
    </xdr:from>
    <xdr:to>
      <xdr:col>4</xdr:col>
      <xdr:colOff>99060</xdr:colOff>
      <xdr:row>9</xdr:row>
      <xdr:rowOff>14423</xdr:rowOff>
    </xdr:to>
    <xdr:pic>
      <xdr:nvPicPr>
        <xdr:cNvPr id="2" name="Imagen 1">
          <a:extLst>
            <a:ext uri="{FF2B5EF4-FFF2-40B4-BE49-F238E27FC236}">
              <a16:creationId xmlns="" xmlns:a16="http://schemas.microsoft.com/office/drawing/2014/main" id="{C80098D5-1FF7-AF50-B5BB-4981B020B3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5598"/>
        <a:stretch>
          <a:fillRect/>
        </a:stretch>
      </xdr:blipFill>
      <xdr:spPr>
        <a:xfrm>
          <a:off x="289560" y="91440"/>
          <a:ext cx="2857500" cy="1568903"/>
        </a:xfrm>
        <a:prstGeom prst="rect">
          <a:avLst/>
        </a:prstGeom>
      </xdr:spPr>
    </xdr:pic>
    <xdr:clientData/>
  </xdr:twoCellAnchor>
  <xdr:twoCellAnchor>
    <xdr:from>
      <xdr:col>13</xdr:col>
      <xdr:colOff>257175</xdr:colOff>
      <xdr:row>4</xdr:row>
      <xdr:rowOff>1</xdr:rowOff>
    </xdr:from>
    <xdr:to>
      <xdr:col>15</xdr:col>
      <xdr:colOff>590550</xdr:colOff>
      <xdr:row>8</xdr:row>
      <xdr:rowOff>1</xdr:rowOff>
    </xdr:to>
    <xdr:sp macro="" textlink="">
      <xdr:nvSpPr>
        <xdr:cNvPr id="3" name="CuadroTexto 2"/>
        <xdr:cNvSpPr txBox="1"/>
      </xdr:nvSpPr>
      <xdr:spPr>
        <a:xfrm>
          <a:off x="11153775" y="733426"/>
          <a:ext cx="2009775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1-Realizar una</a:t>
          </a:r>
          <a:r>
            <a:rPr lang="es-AR" sz="1100" baseline="0"/>
            <a:t> macro utilizando referencia relativa</a:t>
          </a:r>
          <a:endParaRPr lang="es-AR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309563</xdr:colOff>
      <xdr:row>31</xdr:row>
      <xdr:rowOff>22438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570623E7-6A31-14BF-3D10-16E4EDBF4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167563" cy="563266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rnan Vladimirsky" refreshedDate="46281.890020601852" createdVersion="8" refreshedVersion="5" minRefreshableVersion="3" recordCount="150">
  <cacheSource type="worksheet">
    <worksheetSource ref="A1:R151" sheet="BASE"/>
  </cacheSource>
  <cacheFields count="18">
    <cacheField name="ID Venta" numFmtId="0">
      <sharedItems containsSemiMixedTypes="0" containsString="0" containsNumber="1" containsInteger="1" minValue="1" maxValue="150"/>
    </cacheField>
    <cacheField name="Vendedor" numFmtId="0">
      <sharedItems count="5">
        <s v="Ana"/>
        <s v="Carlos"/>
        <s v="María"/>
        <s v="Luis"/>
        <s v="Lucía"/>
      </sharedItems>
    </cacheField>
    <cacheField name="Región" numFmtId="0">
      <sharedItems count="4">
        <s v="Este"/>
        <s v="Sur"/>
        <s v="Oeste"/>
        <s v="Norte"/>
      </sharedItems>
    </cacheField>
    <cacheField name="Producto" numFmtId="0">
      <sharedItems count="4">
        <s v="B"/>
        <s v="C"/>
        <s v="A"/>
        <s v="D"/>
      </sharedItems>
    </cacheField>
    <cacheField name="Cantidad" numFmtId="0">
      <sharedItems containsSemiMixedTypes="0" containsString="0" containsNumber="1" containsInteger="1" minValue="1" maxValue="19"/>
    </cacheField>
    <cacheField name="Precio Unitario" numFmtId="0">
      <sharedItems containsSemiMixedTypes="0" containsString="0" containsNumber="1" containsInteger="1" minValue="100" maxValue="999"/>
    </cacheField>
    <cacheField name="Descuento (%)" numFmtId="0">
      <sharedItems containsSemiMixedTypes="0" containsString="0" containsNumber="1" containsInteger="1" minValue="0" maxValue="15"/>
    </cacheField>
    <cacheField name="Mes" numFmtId="0">
      <sharedItems/>
    </cacheField>
    <cacheField name="Año" numFmtId="0">
      <sharedItems containsSemiMixedTypes="0" containsString="0" containsNumber="1" containsInteger="1" minValue="2023" maxValue="2025"/>
    </cacheField>
    <cacheField name="Objetivo Mensual" numFmtId="0">
      <sharedItems containsSemiMixedTypes="0" containsString="0" containsNumber="1" containsInteger="1" minValue="5074" maxValue="19603"/>
    </cacheField>
    <cacheField name="Cliente Frecuente" numFmtId="0">
      <sharedItems count="2">
        <s v="No"/>
        <s v="Sí"/>
      </sharedItems>
    </cacheField>
    <cacheField name="Método de Pago" numFmtId="0">
      <sharedItems count="3">
        <s v="Tarjeta"/>
        <s v="Transferencia"/>
        <s v="Efectivo"/>
      </sharedItems>
    </cacheField>
    <cacheField name="Categoría Producto" numFmtId="0">
      <sharedItems count="3">
        <s v="Oficina"/>
        <s v="Tecnología"/>
        <s v="Hogar"/>
      </sharedItems>
    </cacheField>
    <cacheField name="Stock Inicial" numFmtId="0">
      <sharedItems containsSemiMixedTypes="0" containsString="0" containsNumber="1" containsInteger="1" minValue="11" maxValue="99"/>
    </cacheField>
    <cacheField name="Stock Final" numFmtId="0">
      <sharedItems containsSemiMixedTypes="0" containsString="0" containsNumber="1" containsInteger="1" minValue="0" maxValue="49"/>
    </cacheField>
    <cacheField name="Total Bruto" numFmtId="0">
      <sharedItems containsSemiMixedTypes="0" containsString="0" containsNumber="1" containsInteger="1" minValue="174" maxValue="17195"/>
    </cacheField>
    <cacheField name="Descuento Aplicado" numFmtId="0">
      <sharedItems containsSemiMixedTypes="0" containsString="0" containsNumber="1" minValue="0" maxValue="2579.25"/>
    </cacheField>
    <cacheField name="Total Venta" numFmtId="165">
      <sharedItems containsSemiMixedTypes="0" containsString="0" containsNumber="1" containsInteger="1" minValue="2698" maxValue="99754"/>
    </cacheField>
  </cacheFields>
  <extLst>
    <ext xmlns:x14="http://schemas.microsoft.com/office/spreadsheetml/2009/9/main" uri="{725AE2AE-9491-48be-B2B4-4EB974FC3084}">
      <x14:pivotCacheDefinition pivotCacheId="14377941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0">
  <r>
    <n v="69"/>
    <x v="0"/>
    <x v="0"/>
    <x v="0"/>
    <n v="7"/>
    <n v="197"/>
    <n v="0"/>
    <s v="Enero"/>
    <n v="2025"/>
    <n v="15281"/>
    <x v="0"/>
    <x v="0"/>
    <x v="0"/>
    <n v="71"/>
    <n v="49"/>
    <n v="1379"/>
    <n v="0"/>
    <n v="82245"/>
  </r>
  <r>
    <n v="88"/>
    <x v="1"/>
    <x v="1"/>
    <x v="1"/>
    <n v="13"/>
    <n v="999"/>
    <n v="15"/>
    <s v="Abril"/>
    <n v="2024"/>
    <n v="19603"/>
    <x v="1"/>
    <x v="0"/>
    <x v="0"/>
    <n v="22"/>
    <n v="49"/>
    <n v="12987"/>
    <n v="1948.05"/>
    <n v="45479"/>
  </r>
  <r>
    <n v="93"/>
    <x v="1"/>
    <x v="0"/>
    <x v="1"/>
    <n v="5"/>
    <n v="884"/>
    <n v="5"/>
    <s v="Enero"/>
    <n v="2024"/>
    <n v="14900"/>
    <x v="1"/>
    <x v="0"/>
    <x v="0"/>
    <n v="54"/>
    <n v="49"/>
    <n v="4420"/>
    <n v="221"/>
    <n v="50049"/>
  </r>
  <r>
    <n v="99"/>
    <x v="2"/>
    <x v="2"/>
    <x v="0"/>
    <n v="9"/>
    <n v="152"/>
    <n v="15"/>
    <s v="Febrero"/>
    <n v="2024"/>
    <n v="7681"/>
    <x v="0"/>
    <x v="0"/>
    <x v="1"/>
    <n v="53"/>
    <n v="49"/>
    <n v="1368"/>
    <n v="205.2"/>
    <n v="17774"/>
  </r>
  <r>
    <n v="107"/>
    <x v="3"/>
    <x v="1"/>
    <x v="0"/>
    <n v="12"/>
    <n v="210"/>
    <n v="5"/>
    <s v="Mayo"/>
    <n v="2024"/>
    <n v="7866"/>
    <x v="0"/>
    <x v="1"/>
    <x v="0"/>
    <n v="68"/>
    <n v="49"/>
    <n v="2520"/>
    <n v="126"/>
    <n v="72783"/>
  </r>
  <r>
    <n v="110"/>
    <x v="4"/>
    <x v="2"/>
    <x v="0"/>
    <n v="8"/>
    <n v="282"/>
    <n v="5"/>
    <s v="Mayo"/>
    <n v="2024"/>
    <n v="10490"/>
    <x v="0"/>
    <x v="2"/>
    <x v="2"/>
    <n v="83"/>
    <n v="49"/>
    <n v="2256"/>
    <n v="112.8"/>
    <n v="31925"/>
  </r>
  <r>
    <n v="127"/>
    <x v="1"/>
    <x v="0"/>
    <x v="2"/>
    <n v="3"/>
    <n v="733"/>
    <n v="15"/>
    <s v="Febrero"/>
    <n v="2023"/>
    <n v="7711"/>
    <x v="0"/>
    <x v="1"/>
    <x v="0"/>
    <n v="29"/>
    <n v="49"/>
    <n v="2199"/>
    <n v="329.85"/>
    <n v="4584"/>
  </r>
  <r>
    <n v="60"/>
    <x v="1"/>
    <x v="3"/>
    <x v="2"/>
    <n v="1"/>
    <n v="174"/>
    <n v="10"/>
    <s v="Mayo"/>
    <n v="2024"/>
    <n v="15268"/>
    <x v="0"/>
    <x v="2"/>
    <x v="0"/>
    <n v="82"/>
    <n v="48"/>
    <n v="174"/>
    <n v="17.399999999999999"/>
    <n v="14853"/>
  </r>
  <r>
    <n v="61"/>
    <x v="3"/>
    <x v="2"/>
    <x v="3"/>
    <n v="17"/>
    <n v="534"/>
    <n v="0"/>
    <s v="Mayo"/>
    <n v="2023"/>
    <n v="16372"/>
    <x v="1"/>
    <x v="1"/>
    <x v="0"/>
    <n v="41"/>
    <n v="48"/>
    <n v="9078"/>
    <n v="0"/>
    <n v="69843"/>
  </r>
  <r>
    <n v="83"/>
    <x v="3"/>
    <x v="1"/>
    <x v="2"/>
    <n v="17"/>
    <n v="205"/>
    <n v="5"/>
    <s v="Marzo"/>
    <n v="2023"/>
    <n v="12992"/>
    <x v="0"/>
    <x v="2"/>
    <x v="0"/>
    <n v="84"/>
    <n v="48"/>
    <n v="3485"/>
    <n v="174.25"/>
    <n v="53839"/>
  </r>
  <r>
    <n v="134"/>
    <x v="2"/>
    <x v="3"/>
    <x v="2"/>
    <n v="10"/>
    <n v="781"/>
    <n v="15"/>
    <s v="Enero"/>
    <n v="2024"/>
    <n v="12715"/>
    <x v="0"/>
    <x v="1"/>
    <x v="2"/>
    <n v="75"/>
    <n v="48"/>
    <n v="7810"/>
    <n v="1171.5"/>
    <n v="51242"/>
  </r>
  <r>
    <n v="147"/>
    <x v="0"/>
    <x v="2"/>
    <x v="1"/>
    <n v="2"/>
    <n v="829"/>
    <n v="0"/>
    <s v="Febrero"/>
    <n v="2024"/>
    <n v="7120"/>
    <x v="1"/>
    <x v="2"/>
    <x v="0"/>
    <n v="24"/>
    <n v="47"/>
    <n v="1658"/>
    <n v="0"/>
    <n v="91862"/>
  </r>
  <r>
    <n v="11"/>
    <x v="0"/>
    <x v="2"/>
    <x v="2"/>
    <n v="17"/>
    <n v="122"/>
    <n v="0"/>
    <s v="Abril"/>
    <n v="2024"/>
    <n v="11852"/>
    <x v="1"/>
    <x v="0"/>
    <x v="2"/>
    <n v="73"/>
    <n v="46"/>
    <n v="2074"/>
    <n v="0"/>
    <n v="35913"/>
  </r>
  <r>
    <n v="32"/>
    <x v="3"/>
    <x v="1"/>
    <x v="3"/>
    <n v="14"/>
    <n v="133"/>
    <n v="5"/>
    <s v="Enero"/>
    <n v="2025"/>
    <n v="16093"/>
    <x v="0"/>
    <x v="0"/>
    <x v="0"/>
    <n v="63"/>
    <n v="46"/>
    <n v="1862"/>
    <n v="93.1"/>
    <n v="81054"/>
  </r>
  <r>
    <n v="56"/>
    <x v="2"/>
    <x v="1"/>
    <x v="0"/>
    <n v="19"/>
    <n v="306"/>
    <n v="10"/>
    <s v="Mayo"/>
    <n v="2025"/>
    <n v="7541"/>
    <x v="0"/>
    <x v="0"/>
    <x v="2"/>
    <n v="76"/>
    <n v="46"/>
    <n v="5814"/>
    <n v="581.4"/>
    <n v="21869"/>
  </r>
  <r>
    <n v="64"/>
    <x v="2"/>
    <x v="2"/>
    <x v="3"/>
    <n v="4"/>
    <n v="803"/>
    <n v="5"/>
    <s v="Febrero"/>
    <n v="2023"/>
    <n v="13996"/>
    <x v="0"/>
    <x v="0"/>
    <x v="1"/>
    <n v="17"/>
    <n v="46"/>
    <n v="3212"/>
    <n v="160.6"/>
    <n v="94151"/>
  </r>
  <r>
    <n v="97"/>
    <x v="1"/>
    <x v="3"/>
    <x v="3"/>
    <n v="18"/>
    <n v="645"/>
    <n v="5"/>
    <s v="Enero"/>
    <n v="2024"/>
    <n v="12643"/>
    <x v="0"/>
    <x v="0"/>
    <x v="2"/>
    <n v="41"/>
    <n v="46"/>
    <n v="11610"/>
    <n v="580.5"/>
    <n v="42052"/>
  </r>
  <r>
    <n v="118"/>
    <x v="1"/>
    <x v="3"/>
    <x v="3"/>
    <n v="9"/>
    <n v="795"/>
    <n v="5"/>
    <s v="Marzo"/>
    <n v="2023"/>
    <n v="11819"/>
    <x v="1"/>
    <x v="0"/>
    <x v="2"/>
    <n v="58"/>
    <n v="46"/>
    <n v="7155"/>
    <n v="357.75"/>
    <n v="27519"/>
  </r>
  <r>
    <n v="120"/>
    <x v="0"/>
    <x v="2"/>
    <x v="2"/>
    <n v="17"/>
    <n v="294"/>
    <n v="15"/>
    <s v="Abril"/>
    <n v="2025"/>
    <n v="13378"/>
    <x v="1"/>
    <x v="0"/>
    <x v="0"/>
    <n v="40"/>
    <n v="46"/>
    <n v="4998"/>
    <n v="749.7"/>
    <n v="13958"/>
  </r>
  <r>
    <n v="132"/>
    <x v="0"/>
    <x v="3"/>
    <x v="0"/>
    <n v="15"/>
    <n v="565"/>
    <n v="5"/>
    <s v="Mayo"/>
    <n v="2023"/>
    <n v="10408"/>
    <x v="1"/>
    <x v="0"/>
    <x v="1"/>
    <n v="60"/>
    <n v="46"/>
    <n v="8475"/>
    <n v="423.75"/>
    <n v="4303"/>
  </r>
  <r>
    <n v="139"/>
    <x v="0"/>
    <x v="2"/>
    <x v="1"/>
    <n v="1"/>
    <n v="612"/>
    <n v="5"/>
    <s v="Abril"/>
    <n v="2023"/>
    <n v="12674"/>
    <x v="1"/>
    <x v="0"/>
    <x v="2"/>
    <n v="48"/>
    <n v="45"/>
    <n v="612"/>
    <n v="30.6"/>
    <n v="86151"/>
  </r>
  <r>
    <n v="9"/>
    <x v="0"/>
    <x v="3"/>
    <x v="3"/>
    <n v="13"/>
    <n v="870"/>
    <n v="10"/>
    <s v="Abril"/>
    <n v="2023"/>
    <n v="13705"/>
    <x v="1"/>
    <x v="0"/>
    <x v="0"/>
    <n v="30"/>
    <n v="44"/>
    <n v="11310"/>
    <n v="1131"/>
    <n v="71008"/>
  </r>
  <r>
    <n v="30"/>
    <x v="0"/>
    <x v="1"/>
    <x v="0"/>
    <n v="10"/>
    <n v="587"/>
    <n v="5"/>
    <s v="Febrero"/>
    <n v="2023"/>
    <n v="10619"/>
    <x v="1"/>
    <x v="2"/>
    <x v="0"/>
    <n v="88"/>
    <n v="44"/>
    <n v="5870"/>
    <n v="293.5"/>
    <n v="51845"/>
  </r>
  <r>
    <n v="105"/>
    <x v="4"/>
    <x v="0"/>
    <x v="1"/>
    <n v="16"/>
    <n v="851"/>
    <n v="0"/>
    <s v="Mayo"/>
    <n v="2025"/>
    <n v="6386"/>
    <x v="1"/>
    <x v="0"/>
    <x v="1"/>
    <n v="46"/>
    <n v="44"/>
    <n v="13616"/>
    <n v="0"/>
    <n v="88671"/>
  </r>
  <r>
    <n v="2"/>
    <x v="1"/>
    <x v="3"/>
    <x v="3"/>
    <n v="17"/>
    <n v="922"/>
    <n v="10"/>
    <s v="Marzo"/>
    <n v="2023"/>
    <n v="9242"/>
    <x v="1"/>
    <x v="0"/>
    <x v="2"/>
    <n v="97"/>
    <n v="43"/>
    <n v="15674"/>
    <n v="1567.4"/>
    <n v="20438"/>
  </r>
  <r>
    <n v="62"/>
    <x v="1"/>
    <x v="3"/>
    <x v="2"/>
    <n v="7"/>
    <n v="202"/>
    <n v="0"/>
    <s v="Marzo"/>
    <n v="2023"/>
    <n v="15849"/>
    <x v="1"/>
    <x v="2"/>
    <x v="1"/>
    <n v="50"/>
    <n v="43"/>
    <n v="1414"/>
    <n v="0"/>
    <n v="7592"/>
  </r>
  <r>
    <n v="67"/>
    <x v="0"/>
    <x v="1"/>
    <x v="3"/>
    <n v="19"/>
    <n v="905"/>
    <n v="15"/>
    <s v="Mayo"/>
    <n v="2024"/>
    <n v="15367"/>
    <x v="0"/>
    <x v="1"/>
    <x v="2"/>
    <n v="71"/>
    <n v="43"/>
    <n v="17195"/>
    <n v="2579.25"/>
    <n v="63618"/>
  </r>
  <r>
    <n v="101"/>
    <x v="1"/>
    <x v="2"/>
    <x v="2"/>
    <n v="14"/>
    <n v="304"/>
    <n v="0"/>
    <s v="Mayo"/>
    <n v="2025"/>
    <n v="18887"/>
    <x v="1"/>
    <x v="2"/>
    <x v="1"/>
    <n v="79"/>
    <n v="43"/>
    <n v="4256"/>
    <n v="0"/>
    <n v="87633"/>
  </r>
  <r>
    <n v="49"/>
    <x v="1"/>
    <x v="1"/>
    <x v="0"/>
    <n v="10"/>
    <n v="833"/>
    <n v="5"/>
    <s v="Marzo"/>
    <n v="2023"/>
    <n v="9033"/>
    <x v="1"/>
    <x v="0"/>
    <x v="2"/>
    <n v="99"/>
    <n v="42"/>
    <n v="8330"/>
    <n v="416.5"/>
    <n v="68534"/>
  </r>
  <r>
    <n v="54"/>
    <x v="4"/>
    <x v="3"/>
    <x v="1"/>
    <n v="5"/>
    <n v="866"/>
    <n v="15"/>
    <s v="Marzo"/>
    <n v="2023"/>
    <n v="10877"/>
    <x v="1"/>
    <x v="1"/>
    <x v="0"/>
    <n v="84"/>
    <n v="42"/>
    <n v="4330"/>
    <n v="649.5"/>
    <n v="16729"/>
  </r>
  <r>
    <n v="90"/>
    <x v="0"/>
    <x v="2"/>
    <x v="2"/>
    <n v="15"/>
    <n v="283"/>
    <n v="5"/>
    <s v="Abril"/>
    <n v="2024"/>
    <n v="11136"/>
    <x v="1"/>
    <x v="0"/>
    <x v="0"/>
    <n v="54"/>
    <n v="42"/>
    <n v="4245"/>
    <n v="212.25"/>
    <n v="19268"/>
  </r>
  <r>
    <n v="98"/>
    <x v="0"/>
    <x v="3"/>
    <x v="1"/>
    <n v="15"/>
    <n v="873"/>
    <n v="10"/>
    <s v="Abril"/>
    <n v="2024"/>
    <n v="17989"/>
    <x v="1"/>
    <x v="1"/>
    <x v="1"/>
    <n v="60"/>
    <n v="42"/>
    <n v="13095"/>
    <n v="1309.5"/>
    <n v="34173"/>
  </r>
  <r>
    <n v="124"/>
    <x v="4"/>
    <x v="3"/>
    <x v="2"/>
    <n v="16"/>
    <n v="192"/>
    <n v="10"/>
    <s v="Mayo"/>
    <n v="2025"/>
    <n v="17385"/>
    <x v="0"/>
    <x v="0"/>
    <x v="1"/>
    <n v="29"/>
    <n v="42"/>
    <n v="3072"/>
    <n v="307.2"/>
    <n v="55681"/>
  </r>
  <r>
    <n v="1"/>
    <x v="0"/>
    <x v="1"/>
    <x v="2"/>
    <n v="12"/>
    <n v="504"/>
    <n v="0"/>
    <s v="Febrero"/>
    <n v="2024"/>
    <n v="16348"/>
    <x v="1"/>
    <x v="1"/>
    <x v="1"/>
    <n v="11"/>
    <n v="41"/>
    <n v="6048"/>
    <n v="0"/>
    <n v="22240"/>
  </r>
  <r>
    <n v="86"/>
    <x v="4"/>
    <x v="1"/>
    <x v="2"/>
    <n v="6"/>
    <n v="232"/>
    <n v="15"/>
    <s v="Mayo"/>
    <n v="2024"/>
    <n v="9263"/>
    <x v="1"/>
    <x v="1"/>
    <x v="1"/>
    <n v="96"/>
    <n v="41"/>
    <n v="1392"/>
    <n v="208.8"/>
    <n v="98737"/>
  </r>
  <r>
    <n v="108"/>
    <x v="3"/>
    <x v="3"/>
    <x v="3"/>
    <n v="10"/>
    <n v="860"/>
    <n v="0"/>
    <s v="Abril"/>
    <n v="2024"/>
    <n v="9788"/>
    <x v="1"/>
    <x v="2"/>
    <x v="0"/>
    <n v="12"/>
    <n v="41"/>
    <n v="8600"/>
    <n v="0"/>
    <n v="37857"/>
  </r>
  <r>
    <n v="10"/>
    <x v="4"/>
    <x v="3"/>
    <x v="1"/>
    <n v="19"/>
    <n v="536"/>
    <n v="15"/>
    <s v="Enero"/>
    <n v="2024"/>
    <n v="15112"/>
    <x v="0"/>
    <x v="2"/>
    <x v="1"/>
    <n v="27"/>
    <n v="40"/>
    <n v="10184"/>
    <n v="1527.6"/>
    <n v="88774"/>
  </r>
  <r>
    <n v="44"/>
    <x v="1"/>
    <x v="2"/>
    <x v="0"/>
    <n v="6"/>
    <n v="405"/>
    <n v="10"/>
    <s v="Mayo"/>
    <n v="2025"/>
    <n v="8186"/>
    <x v="0"/>
    <x v="1"/>
    <x v="2"/>
    <n v="86"/>
    <n v="40"/>
    <n v="2430"/>
    <n v="243"/>
    <n v="93255"/>
  </r>
  <r>
    <n v="149"/>
    <x v="4"/>
    <x v="1"/>
    <x v="3"/>
    <n v="3"/>
    <n v="172"/>
    <n v="10"/>
    <s v="Marzo"/>
    <n v="2023"/>
    <n v="10136"/>
    <x v="1"/>
    <x v="0"/>
    <x v="2"/>
    <n v="17"/>
    <n v="40"/>
    <n v="516"/>
    <n v="51.6"/>
    <n v="90056"/>
  </r>
  <r>
    <n v="27"/>
    <x v="0"/>
    <x v="1"/>
    <x v="1"/>
    <n v="16"/>
    <n v="545"/>
    <n v="5"/>
    <s v="Abril"/>
    <n v="2023"/>
    <n v="18364"/>
    <x v="0"/>
    <x v="0"/>
    <x v="0"/>
    <n v="85"/>
    <n v="39"/>
    <n v="8720"/>
    <n v="436"/>
    <n v="65226"/>
  </r>
  <r>
    <n v="133"/>
    <x v="4"/>
    <x v="1"/>
    <x v="2"/>
    <n v="2"/>
    <n v="703"/>
    <n v="5"/>
    <s v="Febrero"/>
    <n v="2025"/>
    <n v="14977"/>
    <x v="1"/>
    <x v="2"/>
    <x v="1"/>
    <n v="45"/>
    <n v="39"/>
    <n v="1406"/>
    <n v="70.3"/>
    <n v="97722"/>
  </r>
  <r>
    <n v="13"/>
    <x v="3"/>
    <x v="3"/>
    <x v="2"/>
    <n v="12"/>
    <n v="776"/>
    <n v="5"/>
    <s v="Abril"/>
    <n v="2025"/>
    <n v="8594"/>
    <x v="0"/>
    <x v="0"/>
    <x v="0"/>
    <n v="47"/>
    <n v="38"/>
    <n v="9312"/>
    <n v="465.6"/>
    <n v="87258"/>
  </r>
  <r>
    <n v="17"/>
    <x v="2"/>
    <x v="1"/>
    <x v="0"/>
    <n v="9"/>
    <n v="244"/>
    <n v="0"/>
    <s v="Marzo"/>
    <n v="2024"/>
    <n v="9566"/>
    <x v="0"/>
    <x v="2"/>
    <x v="1"/>
    <n v="98"/>
    <n v="38"/>
    <n v="2196"/>
    <n v="0"/>
    <n v="10617"/>
  </r>
  <r>
    <n v="95"/>
    <x v="0"/>
    <x v="0"/>
    <x v="2"/>
    <n v="3"/>
    <n v="951"/>
    <n v="5"/>
    <s v="Mayo"/>
    <n v="2024"/>
    <n v="7969"/>
    <x v="1"/>
    <x v="1"/>
    <x v="0"/>
    <n v="62"/>
    <n v="38"/>
    <n v="2853"/>
    <n v="142.65"/>
    <n v="70956"/>
  </r>
  <r>
    <n v="8"/>
    <x v="1"/>
    <x v="0"/>
    <x v="1"/>
    <n v="16"/>
    <n v="969"/>
    <n v="10"/>
    <s v="Marzo"/>
    <n v="2023"/>
    <n v="9177"/>
    <x v="1"/>
    <x v="0"/>
    <x v="2"/>
    <n v="81"/>
    <n v="37"/>
    <n v="15504"/>
    <n v="1550.4"/>
    <n v="97037"/>
  </r>
  <r>
    <n v="102"/>
    <x v="0"/>
    <x v="2"/>
    <x v="1"/>
    <n v="15"/>
    <n v="225"/>
    <n v="5"/>
    <s v="Marzo"/>
    <n v="2023"/>
    <n v="9225"/>
    <x v="1"/>
    <x v="0"/>
    <x v="0"/>
    <n v="27"/>
    <n v="37"/>
    <n v="3375"/>
    <n v="168.75"/>
    <n v="3895"/>
  </r>
  <r>
    <n v="116"/>
    <x v="4"/>
    <x v="2"/>
    <x v="2"/>
    <n v="18"/>
    <n v="459"/>
    <n v="5"/>
    <s v="Marzo"/>
    <n v="2025"/>
    <n v="15250"/>
    <x v="1"/>
    <x v="0"/>
    <x v="1"/>
    <n v="16"/>
    <n v="37"/>
    <n v="8262"/>
    <n v="413.1"/>
    <n v="25580"/>
  </r>
  <r>
    <n v="6"/>
    <x v="0"/>
    <x v="3"/>
    <x v="3"/>
    <n v="17"/>
    <n v="962"/>
    <n v="15"/>
    <s v="Febrero"/>
    <n v="2023"/>
    <n v="18859"/>
    <x v="1"/>
    <x v="1"/>
    <x v="0"/>
    <n v="86"/>
    <n v="36"/>
    <n v="16354"/>
    <n v="2453.1"/>
    <n v="62281"/>
  </r>
  <r>
    <n v="24"/>
    <x v="1"/>
    <x v="2"/>
    <x v="0"/>
    <n v="3"/>
    <n v="784"/>
    <n v="15"/>
    <s v="Febrero"/>
    <n v="2023"/>
    <n v="6279"/>
    <x v="1"/>
    <x v="1"/>
    <x v="1"/>
    <n v="97"/>
    <n v="36"/>
    <n v="2352"/>
    <n v="352.8"/>
    <n v="59146"/>
  </r>
  <r>
    <n v="55"/>
    <x v="1"/>
    <x v="2"/>
    <x v="0"/>
    <n v="6"/>
    <n v="402"/>
    <n v="0"/>
    <s v="Enero"/>
    <n v="2023"/>
    <n v="6301"/>
    <x v="1"/>
    <x v="2"/>
    <x v="2"/>
    <n v="70"/>
    <n v="36"/>
    <n v="2412"/>
    <n v="0"/>
    <n v="89803"/>
  </r>
  <r>
    <n v="57"/>
    <x v="2"/>
    <x v="0"/>
    <x v="1"/>
    <n v="8"/>
    <n v="328"/>
    <n v="0"/>
    <s v="Abril"/>
    <n v="2025"/>
    <n v="7051"/>
    <x v="1"/>
    <x v="2"/>
    <x v="2"/>
    <n v="15"/>
    <n v="36"/>
    <n v="2624"/>
    <n v="0"/>
    <n v="97348"/>
  </r>
  <r>
    <n v="59"/>
    <x v="2"/>
    <x v="2"/>
    <x v="3"/>
    <n v="13"/>
    <n v="677"/>
    <n v="5"/>
    <s v="Mayo"/>
    <n v="2024"/>
    <n v="13633"/>
    <x v="0"/>
    <x v="0"/>
    <x v="1"/>
    <n v="15"/>
    <n v="36"/>
    <n v="8801"/>
    <n v="440.05"/>
    <n v="69552"/>
  </r>
  <r>
    <n v="73"/>
    <x v="0"/>
    <x v="1"/>
    <x v="3"/>
    <n v="3"/>
    <n v="958"/>
    <n v="15"/>
    <s v="Enero"/>
    <n v="2023"/>
    <n v="12184"/>
    <x v="1"/>
    <x v="0"/>
    <x v="0"/>
    <n v="89"/>
    <n v="36"/>
    <n v="2874"/>
    <n v="431.1"/>
    <n v="39817"/>
  </r>
  <r>
    <n v="80"/>
    <x v="2"/>
    <x v="3"/>
    <x v="3"/>
    <n v="1"/>
    <n v="434"/>
    <n v="15"/>
    <s v="Marzo"/>
    <n v="2024"/>
    <n v="5341"/>
    <x v="1"/>
    <x v="0"/>
    <x v="0"/>
    <n v="50"/>
    <n v="36"/>
    <n v="434"/>
    <n v="65.099999999999994"/>
    <n v="22895"/>
  </r>
  <r>
    <n v="29"/>
    <x v="1"/>
    <x v="0"/>
    <x v="0"/>
    <n v="13"/>
    <n v="980"/>
    <n v="10"/>
    <s v="Mayo"/>
    <n v="2024"/>
    <n v="10986"/>
    <x v="1"/>
    <x v="1"/>
    <x v="1"/>
    <n v="41"/>
    <n v="35"/>
    <n v="12740"/>
    <n v="1274"/>
    <n v="61345"/>
  </r>
  <r>
    <n v="23"/>
    <x v="3"/>
    <x v="0"/>
    <x v="2"/>
    <n v="5"/>
    <n v="150"/>
    <n v="10"/>
    <s v="Febrero"/>
    <n v="2023"/>
    <n v="18221"/>
    <x v="1"/>
    <x v="2"/>
    <x v="0"/>
    <n v="60"/>
    <n v="34"/>
    <n v="750"/>
    <n v="75"/>
    <n v="18282"/>
  </r>
  <r>
    <n v="78"/>
    <x v="3"/>
    <x v="1"/>
    <x v="0"/>
    <n v="9"/>
    <n v="265"/>
    <n v="5"/>
    <s v="Febrero"/>
    <n v="2025"/>
    <n v="6622"/>
    <x v="1"/>
    <x v="2"/>
    <x v="1"/>
    <n v="35"/>
    <n v="34"/>
    <n v="2385"/>
    <n v="119.25"/>
    <n v="66460"/>
  </r>
  <r>
    <n v="91"/>
    <x v="1"/>
    <x v="1"/>
    <x v="3"/>
    <n v="16"/>
    <n v="500"/>
    <n v="0"/>
    <s v="Mayo"/>
    <n v="2025"/>
    <n v="13646"/>
    <x v="1"/>
    <x v="2"/>
    <x v="2"/>
    <n v="28"/>
    <n v="33"/>
    <n v="8000"/>
    <n v="0"/>
    <n v="34272"/>
  </r>
  <r>
    <n v="121"/>
    <x v="2"/>
    <x v="1"/>
    <x v="0"/>
    <n v="9"/>
    <n v="963"/>
    <n v="10"/>
    <s v="Febrero"/>
    <n v="2025"/>
    <n v="16046"/>
    <x v="0"/>
    <x v="2"/>
    <x v="2"/>
    <n v="67"/>
    <n v="33"/>
    <n v="8667"/>
    <n v="866.7"/>
    <n v="20259"/>
  </r>
  <r>
    <n v="82"/>
    <x v="0"/>
    <x v="0"/>
    <x v="2"/>
    <n v="13"/>
    <n v="858"/>
    <n v="5"/>
    <s v="Marzo"/>
    <n v="2023"/>
    <n v="7074"/>
    <x v="1"/>
    <x v="1"/>
    <x v="1"/>
    <n v="23"/>
    <n v="32"/>
    <n v="11154"/>
    <n v="557.70000000000005"/>
    <n v="30928"/>
  </r>
  <r>
    <n v="141"/>
    <x v="2"/>
    <x v="3"/>
    <x v="3"/>
    <n v="15"/>
    <n v="332"/>
    <n v="0"/>
    <s v="Abril"/>
    <n v="2023"/>
    <n v="11122"/>
    <x v="0"/>
    <x v="0"/>
    <x v="0"/>
    <n v="67"/>
    <n v="32"/>
    <n v="4980"/>
    <n v="0"/>
    <n v="49583"/>
  </r>
  <r>
    <n v="115"/>
    <x v="0"/>
    <x v="2"/>
    <x v="1"/>
    <n v="8"/>
    <n v="999"/>
    <n v="10"/>
    <s v="Febrero"/>
    <n v="2024"/>
    <n v="10415"/>
    <x v="1"/>
    <x v="2"/>
    <x v="0"/>
    <n v="88"/>
    <n v="31"/>
    <n v="7992"/>
    <n v="799.2"/>
    <n v="17541"/>
  </r>
  <r>
    <n v="33"/>
    <x v="2"/>
    <x v="0"/>
    <x v="2"/>
    <n v="5"/>
    <n v="447"/>
    <n v="0"/>
    <s v="Mayo"/>
    <n v="2023"/>
    <n v="6387"/>
    <x v="0"/>
    <x v="0"/>
    <x v="2"/>
    <n v="95"/>
    <n v="30"/>
    <n v="2235"/>
    <n v="0"/>
    <n v="11195"/>
  </r>
  <r>
    <n v="96"/>
    <x v="2"/>
    <x v="2"/>
    <x v="2"/>
    <n v="19"/>
    <n v="168"/>
    <n v="15"/>
    <s v="Marzo"/>
    <n v="2023"/>
    <n v="8028"/>
    <x v="0"/>
    <x v="0"/>
    <x v="1"/>
    <n v="64"/>
    <n v="30"/>
    <n v="3192"/>
    <n v="478.8"/>
    <n v="59404"/>
  </r>
  <r>
    <n v="144"/>
    <x v="4"/>
    <x v="3"/>
    <x v="1"/>
    <n v="17"/>
    <n v="145"/>
    <n v="5"/>
    <s v="Febrero"/>
    <n v="2025"/>
    <n v="5153"/>
    <x v="1"/>
    <x v="2"/>
    <x v="1"/>
    <n v="27"/>
    <n v="30"/>
    <n v="2465"/>
    <n v="123.25"/>
    <n v="95800"/>
  </r>
  <r>
    <n v="43"/>
    <x v="1"/>
    <x v="1"/>
    <x v="0"/>
    <n v="17"/>
    <n v="990"/>
    <n v="5"/>
    <s v="Febrero"/>
    <n v="2023"/>
    <n v="17145"/>
    <x v="0"/>
    <x v="0"/>
    <x v="2"/>
    <n v="42"/>
    <n v="29"/>
    <n v="16830"/>
    <n v="841.5"/>
    <n v="90470"/>
  </r>
  <r>
    <n v="126"/>
    <x v="1"/>
    <x v="0"/>
    <x v="3"/>
    <n v="14"/>
    <n v="160"/>
    <n v="10"/>
    <s v="Marzo"/>
    <n v="2024"/>
    <n v="11766"/>
    <x v="1"/>
    <x v="2"/>
    <x v="0"/>
    <n v="13"/>
    <n v="29"/>
    <n v="2240"/>
    <n v="224"/>
    <n v="43955"/>
  </r>
  <r>
    <n v="40"/>
    <x v="2"/>
    <x v="3"/>
    <x v="1"/>
    <n v="9"/>
    <n v="537"/>
    <n v="10"/>
    <s v="Mayo"/>
    <n v="2025"/>
    <n v="9223"/>
    <x v="1"/>
    <x v="2"/>
    <x v="2"/>
    <n v="42"/>
    <n v="28"/>
    <n v="4833"/>
    <n v="483.3"/>
    <n v="71940"/>
  </r>
  <r>
    <n v="76"/>
    <x v="1"/>
    <x v="0"/>
    <x v="3"/>
    <n v="18"/>
    <n v="407"/>
    <n v="0"/>
    <s v="Enero"/>
    <n v="2025"/>
    <n v="18689"/>
    <x v="0"/>
    <x v="1"/>
    <x v="2"/>
    <n v="67"/>
    <n v="28"/>
    <n v="7326"/>
    <n v="0"/>
    <n v="43718"/>
  </r>
  <r>
    <n v="94"/>
    <x v="2"/>
    <x v="1"/>
    <x v="3"/>
    <n v="4"/>
    <n v="607"/>
    <n v="15"/>
    <s v="Mayo"/>
    <n v="2024"/>
    <n v="16664"/>
    <x v="0"/>
    <x v="1"/>
    <x v="0"/>
    <n v="17"/>
    <n v="28"/>
    <n v="2428"/>
    <n v="364.2"/>
    <n v="7352"/>
  </r>
  <r>
    <n v="114"/>
    <x v="2"/>
    <x v="0"/>
    <x v="0"/>
    <n v="4"/>
    <n v="619"/>
    <n v="5"/>
    <s v="Mayo"/>
    <n v="2025"/>
    <n v="8850"/>
    <x v="0"/>
    <x v="2"/>
    <x v="1"/>
    <n v="72"/>
    <n v="28"/>
    <n v="2476"/>
    <n v="123.8"/>
    <n v="98242"/>
  </r>
  <r>
    <n v="21"/>
    <x v="2"/>
    <x v="1"/>
    <x v="0"/>
    <n v="15"/>
    <n v="977"/>
    <n v="10"/>
    <s v="Marzo"/>
    <n v="2023"/>
    <n v="19596"/>
    <x v="0"/>
    <x v="0"/>
    <x v="1"/>
    <n v="20"/>
    <n v="27"/>
    <n v="14655"/>
    <n v="1465.5"/>
    <n v="85225"/>
  </r>
  <r>
    <n v="53"/>
    <x v="1"/>
    <x v="2"/>
    <x v="3"/>
    <n v="5"/>
    <n v="723"/>
    <n v="10"/>
    <s v="Mayo"/>
    <n v="2023"/>
    <n v="12368"/>
    <x v="0"/>
    <x v="2"/>
    <x v="2"/>
    <n v="58"/>
    <n v="27"/>
    <n v="3615"/>
    <n v="361.5"/>
    <n v="68425"/>
  </r>
  <r>
    <n v="63"/>
    <x v="1"/>
    <x v="2"/>
    <x v="2"/>
    <n v="13"/>
    <n v="521"/>
    <n v="10"/>
    <s v="Marzo"/>
    <n v="2025"/>
    <n v="16990"/>
    <x v="1"/>
    <x v="0"/>
    <x v="0"/>
    <n v="85"/>
    <n v="27"/>
    <n v="6773"/>
    <n v="677.3"/>
    <n v="42217"/>
  </r>
  <r>
    <n v="136"/>
    <x v="1"/>
    <x v="0"/>
    <x v="3"/>
    <n v="13"/>
    <n v="633"/>
    <n v="10"/>
    <s v="Abril"/>
    <n v="2024"/>
    <n v="6762"/>
    <x v="0"/>
    <x v="1"/>
    <x v="2"/>
    <n v="43"/>
    <n v="26"/>
    <n v="8229"/>
    <n v="822.9"/>
    <n v="31027"/>
  </r>
  <r>
    <n v="75"/>
    <x v="3"/>
    <x v="2"/>
    <x v="3"/>
    <n v="13"/>
    <n v="546"/>
    <n v="10"/>
    <s v="Enero"/>
    <n v="2024"/>
    <n v="12141"/>
    <x v="0"/>
    <x v="2"/>
    <x v="2"/>
    <n v="15"/>
    <n v="25"/>
    <n v="7098"/>
    <n v="709.8"/>
    <n v="86637"/>
  </r>
  <r>
    <n v="123"/>
    <x v="1"/>
    <x v="0"/>
    <x v="1"/>
    <n v="13"/>
    <n v="766"/>
    <n v="10"/>
    <s v="Marzo"/>
    <n v="2025"/>
    <n v="6333"/>
    <x v="0"/>
    <x v="2"/>
    <x v="1"/>
    <n v="33"/>
    <n v="25"/>
    <n v="9958"/>
    <n v="995.8"/>
    <n v="67872"/>
  </r>
  <r>
    <n v="130"/>
    <x v="0"/>
    <x v="0"/>
    <x v="2"/>
    <n v="19"/>
    <n v="888"/>
    <n v="15"/>
    <s v="Abril"/>
    <n v="2025"/>
    <n v="11212"/>
    <x v="1"/>
    <x v="0"/>
    <x v="0"/>
    <n v="59"/>
    <n v="25"/>
    <n v="16872"/>
    <n v="2530.8000000000002"/>
    <n v="50773"/>
  </r>
  <r>
    <n v="150"/>
    <x v="0"/>
    <x v="2"/>
    <x v="2"/>
    <n v="1"/>
    <n v="893"/>
    <n v="10"/>
    <s v="Mayo"/>
    <n v="2025"/>
    <n v="10760"/>
    <x v="0"/>
    <x v="1"/>
    <x v="1"/>
    <n v="96"/>
    <n v="25"/>
    <n v="893"/>
    <n v="89.3"/>
    <n v="99754"/>
  </r>
  <r>
    <n v="14"/>
    <x v="2"/>
    <x v="2"/>
    <x v="1"/>
    <n v="9"/>
    <n v="813"/>
    <n v="15"/>
    <s v="Enero"/>
    <n v="2023"/>
    <n v="9841"/>
    <x v="1"/>
    <x v="2"/>
    <x v="2"/>
    <n v="41"/>
    <n v="24"/>
    <n v="7317"/>
    <n v="1097.55"/>
    <n v="51194"/>
  </r>
  <r>
    <n v="20"/>
    <x v="3"/>
    <x v="0"/>
    <x v="2"/>
    <n v="19"/>
    <n v="556"/>
    <n v="15"/>
    <s v="Marzo"/>
    <n v="2025"/>
    <n v="6555"/>
    <x v="1"/>
    <x v="0"/>
    <x v="2"/>
    <n v="17"/>
    <n v="24"/>
    <n v="10564"/>
    <n v="1584.6"/>
    <n v="90566"/>
  </r>
  <r>
    <n v="92"/>
    <x v="1"/>
    <x v="1"/>
    <x v="0"/>
    <n v="11"/>
    <n v="429"/>
    <n v="0"/>
    <s v="Enero"/>
    <n v="2025"/>
    <n v="16145"/>
    <x v="0"/>
    <x v="1"/>
    <x v="2"/>
    <n v="64"/>
    <n v="24"/>
    <n v="4719"/>
    <n v="0"/>
    <n v="61619"/>
  </r>
  <r>
    <n v="138"/>
    <x v="1"/>
    <x v="3"/>
    <x v="2"/>
    <n v="1"/>
    <n v="937"/>
    <n v="10"/>
    <s v="Abril"/>
    <n v="2025"/>
    <n v="12101"/>
    <x v="1"/>
    <x v="0"/>
    <x v="1"/>
    <n v="15"/>
    <n v="24"/>
    <n v="937"/>
    <n v="93.7"/>
    <n v="66495"/>
  </r>
  <r>
    <n v="89"/>
    <x v="0"/>
    <x v="3"/>
    <x v="2"/>
    <n v="13"/>
    <n v="237"/>
    <n v="10"/>
    <s v="Marzo"/>
    <n v="2023"/>
    <n v="19060"/>
    <x v="0"/>
    <x v="2"/>
    <x v="2"/>
    <n v="34"/>
    <n v="23"/>
    <n v="3081"/>
    <n v="308.10000000000002"/>
    <n v="94134"/>
  </r>
  <r>
    <n v="31"/>
    <x v="3"/>
    <x v="0"/>
    <x v="0"/>
    <n v="7"/>
    <n v="899"/>
    <n v="15"/>
    <s v="Abril"/>
    <n v="2025"/>
    <n v="16769"/>
    <x v="1"/>
    <x v="0"/>
    <x v="2"/>
    <n v="89"/>
    <n v="22"/>
    <n v="6293"/>
    <n v="943.95"/>
    <n v="50632"/>
  </r>
  <r>
    <n v="100"/>
    <x v="2"/>
    <x v="3"/>
    <x v="0"/>
    <n v="17"/>
    <n v="549"/>
    <n v="10"/>
    <s v="Febrero"/>
    <n v="2025"/>
    <n v="8629"/>
    <x v="1"/>
    <x v="2"/>
    <x v="0"/>
    <n v="91"/>
    <n v="22"/>
    <n v="9333"/>
    <n v="933.3"/>
    <n v="52797"/>
  </r>
  <r>
    <n v="104"/>
    <x v="0"/>
    <x v="3"/>
    <x v="1"/>
    <n v="3"/>
    <n v="142"/>
    <n v="0"/>
    <s v="Enero"/>
    <n v="2025"/>
    <n v="10941"/>
    <x v="0"/>
    <x v="0"/>
    <x v="0"/>
    <n v="31"/>
    <n v="22"/>
    <n v="426"/>
    <n v="0"/>
    <n v="62059"/>
  </r>
  <r>
    <n v="119"/>
    <x v="0"/>
    <x v="1"/>
    <x v="0"/>
    <n v="4"/>
    <n v="380"/>
    <n v="10"/>
    <s v="Abril"/>
    <n v="2023"/>
    <n v="14328"/>
    <x v="0"/>
    <x v="0"/>
    <x v="0"/>
    <n v="94"/>
    <n v="21"/>
    <n v="1520"/>
    <n v="152"/>
    <n v="58035"/>
  </r>
  <r>
    <n v="111"/>
    <x v="0"/>
    <x v="1"/>
    <x v="0"/>
    <n v="6"/>
    <n v="947"/>
    <n v="10"/>
    <s v="Mayo"/>
    <n v="2024"/>
    <n v="18081"/>
    <x v="1"/>
    <x v="1"/>
    <x v="2"/>
    <n v="44"/>
    <n v="20"/>
    <n v="5682"/>
    <n v="568.20000000000005"/>
    <n v="32115"/>
  </r>
  <r>
    <n v="15"/>
    <x v="1"/>
    <x v="0"/>
    <x v="1"/>
    <n v="19"/>
    <n v="557"/>
    <n v="0"/>
    <s v="Febrero"/>
    <n v="2023"/>
    <n v="6409"/>
    <x v="0"/>
    <x v="2"/>
    <x v="2"/>
    <n v="20"/>
    <n v="19"/>
    <n v="10583"/>
    <n v="0"/>
    <n v="31972"/>
  </r>
  <r>
    <n v="47"/>
    <x v="2"/>
    <x v="1"/>
    <x v="0"/>
    <n v="13"/>
    <n v="335"/>
    <n v="0"/>
    <s v="Febrero"/>
    <n v="2025"/>
    <n v="17808"/>
    <x v="1"/>
    <x v="1"/>
    <x v="2"/>
    <n v="75"/>
    <n v="19"/>
    <n v="4355"/>
    <n v="0"/>
    <n v="24433"/>
  </r>
  <r>
    <n v="52"/>
    <x v="2"/>
    <x v="3"/>
    <x v="0"/>
    <n v="2"/>
    <n v="500"/>
    <n v="10"/>
    <s v="Abril"/>
    <n v="2023"/>
    <n v="16622"/>
    <x v="1"/>
    <x v="2"/>
    <x v="2"/>
    <n v="53"/>
    <n v="19"/>
    <n v="1000"/>
    <n v="100"/>
    <n v="83439"/>
  </r>
  <r>
    <n v="68"/>
    <x v="3"/>
    <x v="2"/>
    <x v="1"/>
    <n v="12"/>
    <n v="405"/>
    <n v="0"/>
    <s v="Febrero"/>
    <n v="2024"/>
    <n v="17116"/>
    <x v="1"/>
    <x v="0"/>
    <x v="0"/>
    <n v="93"/>
    <n v="19"/>
    <n v="4860"/>
    <n v="0"/>
    <n v="7218"/>
  </r>
  <r>
    <n v="74"/>
    <x v="3"/>
    <x v="1"/>
    <x v="1"/>
    <n v="13"/>
    <n v="534"/>
    <n v="5"/>
    <s v="Enero"/>
    <n v="2023"/>
    <n v="10796"/>
    <x v="1"/>
    <x v="1"/>
    <x v="2"/>
    <n v="13"/>
    <n v="19"/>
    <n v="6942"/>
    <n v="347.1"/>
    <n v="54441"/>
  </r>
  <r>
    <n v="87"/>
    <x v="4"/>
    <x v="1"/>
    <x v="3"/>
    <n v="12"/>
    <n v="896"/>
    <n v="0"/>
    <s v="Enero"/>
    <n v="2025"/>
    <n v="13801"/>
    <x v="0"/>
    <x v="0"/>
    <x v="1"/>
    <n v="21"/>
    <n v="19"/>
    <n v="10752"/>
    <n v="0"/>
    <n v="42183"/>
  </r>
  <r>
    <n v="103"/>
    <x v="1"/>
    <x v="2"/>
    <x v="0"/>
    <n v="1"/>
    <n v="846"/>
    <n v="0"/>
    <s v="Febrero"/>
    <n v="2023"/>
    <n v="8067"/>
    <x v="0"/>
    <x v="1"/>
    <x v="2"/>
    <n v="92"/>
    <n v="19"/>
    <n v="846"/>
    <n v="0"/>
    <n v="31679"/>
  </r>
  <r>
    <n v="143"/>
    <x v="4"/>
    <x v="1"/>
    <x v="2"/>
    <n v="11"/>
    <n v="445"/>
    <n v="15"/>
    <s v="Mayo"/>
    <n v="2025"/>
    <n v="19536"/>
    <x v="0"/>
    <x v="0"/>
    <x v="2"/>
    <n v="12"/>
    <n v="18"/>
    <n v="4895"/>
    <n v="734.25"/>
    <n v="56518"/>
  </r>
  <r>
    <n v="128"/>
    <x v="3"/>
    <x v="2"/>
    <x v="2"/>
    <n v="6"/>
    <n v="150"/>
    <n v="0"/>
    <s v="Febrero"/>
    <n v="2025"/>
    <n v="9853"/>
    <x v="0"/>
    <x v="2"/>
    <x v="2"/>
    <n v="69"/>
    <n v="17"/>
    <n v="900"/>
    <n v="0"/>
    <n v="42793"/>
  </r>
  <r>
    <n v="19"/>
    <x v="0"/>
    <x v="1"/>
    <x v="1"/>
    <n v="14"/>
    <n v="177"/>
    <n v="0"/>
    <s v="Mayo"/>
    <n v="2025"/>
    <n v="9491"/>
    <x v="1"/>
    <x v="0"/>
    <x v="0"/>
    <n v="50"/>
    <n v="16"/>
    <n v="2478"/>
    <n v="0"/>
    <n v="71488"/>
  </r>
  <r>
    <n v="129"/>
    <x v="4"/>
    <x v="1"/>
    <x v="2"/>
    <n v="18"/>
    <n v="502"/>
    <n v="15"/>
    <s v="Marzo"/>
    <n v="2023"/>
    <n v="17693"/>
    <x v="0"/>
    <x v="1"/>
    <x v="2"/>
    <n v="33"/>
    <n v="16"/>
    <n v="9036"/>
    <n v="1355.4"/>
    <n v="57993"/>
  </r>
  <r>
    <n v="38"/>
    <x v="3"/>
    <x v="3"/>
    <x v="3"/>
    <n v="15"/>
    <n v="349"/>
    <n v="10"/>
    <s v="Marzo"/>
    <n v="2025"/>
    <n v="7106"/>
    <x v="1"/>
    <x v="2"/>
    <x v="0"/>
    <n v="41"/>
    <n v="15"/>
    <n v="5235"/>
    <n v="523.5"/>
    <n v="91547"/>
  </r>
  <r>
    <n v="106"/>
    <x v="3"/>
    <x v="2"/>
    <x v="2"/>
    <n v="11"/>
    <n v="982"/>
    <n v="0"/>
    <s v="Abril"/>
    <n v="2025"/>
    <n v="16968"/>
    <x v="1"/>
    <x v="1"/>
    <x v="1"/>
    <n v="65"/>
    <n v="15"/>
    <n v="10802"/>
    <n v="0"/>
    <n v="95406"/>
  </r>
  <r>
    <n v="145"/>
    <x v="1"/>
    <x v="0"/>
    <x v="3"/>
    <n v="13"/>
    <n v="645"/>
    <n v="10"/>
    <s v="Enero"/>
    <n v="2024"/>
    <n v="12617"/>
    <x v="1"/>
    <x v="1"/>
    <x v="2"/>
    <n v="49"/>
    <n v="15"/>
    <n v="8385"/>
    <n v="838.5"/>
    <n v="6301"/>
  </r>
  <r>
    <n v="65"/>
    <x v="2"/>
    <x v="1"/>
    <x v="3"/>
    <n v="4"/>
    <n v="863"/>
    <n v="5"/>
    <s v="Abril"/>
    <n v="2023"/>
    <n v="5074"/>
    <x v="1"/>
    <x v="2"/>
    <x v="0"/>
    <n v="81"/>
    <n v="14"/>
    <n v="3452"/>
    <n v="172.6"/>
    <n v="35249"/>
  </r>
  <r>
    <n v="3"/>
    <x v="0"/>
    <x v="0"/>
    <x v="2"/>
    <n v="13"/>
    <n v="617"/>
    <n v="0"/>
    <s v="Mayo"/>
    <n v="2024"/>
    <n v="8695"/>
    <x v="1"/>
    <x v="2"/>
    <x v="1"/>
    <n v="81"/>
    <n v="13"/>
    <n v="8021"/>
    <n v="0"/>
    <n v="31672"/>
  </r>
  <r>
    <n v="4"/>
    <x v="2"/>
    <x v="0"/>
    <x v="2"/>
    <n v="3"/>
    <n v="575"/>
    <n v="5"/>
    <s v="Abril"/>
    <n v="2025"/>
    <n v="8452"/>
    <x v="0"/>
    <x v="2"/>
    <x v="0"/>
    <n v="20"/>
    <n v="13"/>
    <n v="1725"/>
    <n v="86.25"/>
    <n v="84498"/>
  </r>
  <r>
    <n v="12"/>
    <x v="1"/>
    <x v="0"/>
    <x v="0"/>
    <n v="4"/>
    <n v="664"/>
    <n v="0"/>
    <s v="Enero"/>
    <n v="2024"/>
    <n v="11035"/>
    <x v="0"/>
    <x v="1"/>
    <x v="0"/>
    <n v="91"/>
    <n v="13"/>
    <n v="2656"/>
    <n v="0"/>
    <n v="93243"/>
  </r>
  <r>
    <n v="37"/>
    <x v="1"/>
    <x v="1"/>
    <x v="0"/>
    <n v="18"/>
    <n v="253"/>
    <n v="15"/>
    <s v="Marzo"/>
    <n v="2024"/>
    <n v="7679"/>
    <x v="0"/>
    <x v="1"/>
    <x v="2"/>
    <n v="49"/>
    <n v="13"/>
    <n v="4554"/>
    <n v="683.1"/>
    <n v="82981"/>
  </r>
  <r>
    <n v="70"/>
    <x v="1"/>
    <x v="0"/>
    <x v="2"/>
    <n v="10"/>
    <n v="949"/>
    <n v="0"/>
    <s v="Febrero"/>
    <n v="2023"/>
    <n v="10475"/>
    <x v="1"/>
    <x v="1"/>
    <x v="0"/>
    <n v="16"/>
    <n v="13"/>
    <n v="9490"/>
    <n v="0"/>
    <n v="38385"/>
  </r>
  <r>
    <n v="84"/>
    <x v="0"/>
    <x v="3"/>
    <x v="1"/>
    <n v="1"/>
    <n v="662"/>
    <n v="10"/>
    <s v="Febrero"/>
    <n v="2023"/>
    <n v="5645"/>
    <x v="0"/>
    <x v="0"/>
    <x v="0"/>
    <n v="91"/>
    <n v="13"/>
    <n v="662"/>
    <n v="66.2"/>
    <n v="41689"/>
  </r>
  <r>
    <n v="146"/>
    <x v="2"/>
    <x v="1"/>
    <x v="3"/>
    <n v="1"/>
    <n v="177"/>
    <n v="5"/>
    <s v="Abril"/>
    <n v="2025"/>
    <n v="6524"/>
    <x v="0"/>
    <x v="1"/>
    <x v="1"/>
    <n v="30"/>
    <n v="13"/>
    <n v="177"/>
    <n v="8.85"/>
    <n v="8792"/>
  </r>
  <r>
    <n v="28"/>
    <x v="0"/>
    <x v="2"/>
    <x v="2"/>
    <n v="7"/>
    <n v="548"/>
    <n v="15"/>
    <s v="Febrero"/>
    <n v="2023"/>
    <n v="12083"/>
    <x v="1"/>
    <x v="0"/>
    <x v="2"/>
    <n v="55"/>
    <n v="11"/>
    <n v="3836"/>
    <n v="575.4"/>
    <n v="80586"/>
  </r>
  <r>
    <n v="42"/>
    <x v="2"/>
    <x v="0"/>
    <x v="2"/>
    <n v="12"/>
    <n v="870"/>
    <n v="10"/>
    <s v="Abril"/>
    <n v="2025"/>
    <n v="7768"/>
    <x v="1"/>
    <x v="2"/>
    <x v="1"/>
    <n v="39"/>
    <n v="11"/>
    <n v="10440"/>
    <n v="1044"/>
    <n v="93335"/>
  </r>
  <r>
    <n v="50"/>
    <x v="0"/>
    <x v="0"/>
    <x v="2"/>
    <n v="9"/>
    <n v="862"/>
    <n v="5"/>
    <s v="Marzo"/>
    <n v="2025"/>
    <n v="13428"/>
    <x v="0"/>
    <x v="1"/>
    <x v="2"/>
    <n v="55"/>
    <n v="11"/>
    <n v="7758"/>
    <n v="387.9"/>
    <n v="76309"/>
  </r>
  <r>
    <n v="58"/>
    <x v="1"/>
    <x v="3"/>
    <x v="0"/>
    <n v="16"/>
    <n v="952"/>
    <n v="15"/>
    <s v="Marzo"/>
    <n v="2024"/>
    <n v="11809"/>
    <x v="0"/>
    <x v="0"/>
    <x v="0"/>
    <n v="18"/>
    <n v="11"/>
    <n v="15232"/>
    <n v="2284.8000000000002"/>
    <n v="50105"/>
  </r>
  <r>
    <n v="85"/>
    <x v="2"/>
    <x v="1"/>
    <x v="1"/>
    <n v="6"/>
    <n v="180"/>
    <n v="15"/>
    <s v="Abril"/>
    <n v="2023"/>
    <n v="18018"/>
    <x v="1"/>
    <x v="0"/>
    <x v="0"/>
    <n v="21"/>
    <n v="11"/>
    <n v="1080"/>
    <n v="162"/>
    <n v="65792"/>
  </r>
  <r>
    <n v="135"/>
    <x v="4"/>
    <x v="1"/>
    <x v="3"/>
    <n v="18"/>
    <n v="928"/>
    <n v="15"/>
    <s v="Enero"/>
    <n v="2025"/>
    <n v="13942"/>
    <x v="0"/>
    <x v="0"/>
    <x v="0"/>
    <n v="88"/>
    <n v="11"/>
    <n v="16704"/>
    <n v="2505.6"/>
    <n v="38339"/>
  </r>
  <r>
    <n v="34"/>
    <x v="4"/>
    <x v="0"/>
    <x v="3"/>
    <n v="3"/>
    <n v="194"/>
    <n v="5"/>
    <s v="Enero"/>
    <n v="2024"/>
    <n v="18591"/>
    <x v="0"/>
    <x v="1"/>
    <x v="0"/>
    <n v="29"/>
    <n v="10"/>
    <n v="582"/>
    <n v="29.1"/>
    <n v="3460"/>
  </r>
  <r>
    <n v="35"/>
    <x v="0"/>
    <x v="1"/>
    <x v="3"/>
    <n v="11"/>
    <n v="171"/>
    <n v="5"/>
    <s v="Enero"/>
    <n v="2025"/>
    <n v="17880"/>
    <x v="0"/>
    <x v="2"/>
    <x v="2"/>
    <n v="42"/>
    <n v="9"/>
    <n v="1881"/>
    <n v="94.05"/>
    <n v="93019"/>
  </r>
  <r>
    <n v="39"/>
    <x v="4"/>
    <x v="2"/>
    <x v="2"/>
    <n v="12"/>
    <n v="773"/>
    <n v="10"/>
    <s v="Enero"/>
    <n v="2024"/>
    <n v="13173"/>
    <x v="1"/>
    <x v="1"/>
    <x v="0"/>
    <n v="11"/>
    <n v="9"/>
    <n v="9276"/>
    <n v="927.6"/>
    <n v="62473"/>
  </r>
  <r>
    <n v="41"/>
    <x v="3"/>
    <x v="3"/>
    <x v="3"/>
    <n v="10"/>
    <n v="217"/>
    <n v="10"/>
    <s v="Abril"/>
    <n v="2024"/>
    <n v="9831"/>
    <x v="1"/>
    <x v="0"/>
    <x v="1"/>
    <n v="86"/>
    <n v="9"/>
    <n v="2170"/>
    <n v="217"/>
    <n v="75734"/>
  </r>
  <r>
    <n v="125"/>
    <x v="1"/>
    <x v="2"/>
    <x v="3"/>
    <n v="13"/>
    <n v="771"/>
    <n v="10"/>
    <s v="Abril"/>
    <n v="2023"/>
    <n v="9150"/>
    <x v="1"/>
    <x v="1"/>
    <x v="1"/>
    <n v="46"/>
    <n v="9"/>
    <n v="10023"/>
    <n v="1002.3"/>
    <n v="47317"/>
  </r>
  <r>
    <n v="72"/>
    <x v="0"/>
    <x v="2"/>
    <x v="3"/>
    <n v="7"/>
    <n v="434"/>
    <n v="0"/>
    <s v="Mayo"/>
    <n v="2025"/>
    <n v="15273"/>
    <x v="1"/>
    <x v="0"/>
    <x v="2"/>
    <n v="93"/>
    <n v="8"/>
    <n v="3038"/>
    <n v="0"/>
    <n v="7698"/>
  </r>
  <r>
    <n v="48"/>
    <x v="3"/>
    <x v="0"/>
    <x v="0"/>
    <n v="8"/>
    <n v="488"/>
    <n v="5"/>
    <s v="Abril"/>
    <n v="2024"/>
    <n v="7599"/>
    <x v="0"/>
    <x v="2"/>
    <x v="1"/>
    <n v="47"/>
    <n v="7"/>
    <n v="3904"/>
    <n v="195.2"/>
    <n v="78053"/>
  </r>
  <r>
    <n v="109"/>
    <x v="1"/>
    <x v="2"/>
    <x v="2"/>
    <n v="16"/>
    <n v="762"/>
    <n v="5"/>
    <s v="Mayo"/>
    <n v="2025"/>
    <n v="16555"/>
    <x v="1"/>
    <x v="1"/>
    <x v="1"/>
    <n v="37"/>
    <n v="7"/>
    <n v="12192"/>
    <n v="609.6"/>
    <n v="28304"/>
  </r>
  <r>
    <n v="113"/>
    <x v="0"/>
    <x v="0"/>
    <x v="0"/>
    <n v="8"/>
    <n v="473"/>
    <n v="15"/>
    <s v="Abril"/>
    <n v="2025"/>
    <n v="13340"/>
    <x v="1"/>
    <x v="2"/>
    <x v="2"/>
    <n v="63"/>
    <n v="7"/>
    <n v="3784"/>
    <n v="567.6"/>
    <n v="37219"/>
  </r>
  <r>
    <n v="131"/>
    <x v="2"/>
    <x v="1"/>
    <x v="3"/>
    <n v="5"/>
    <n v="104"/>
    <n v="10"/>
    <s v="Febrero"/>
    <n v="2025"/>
    <n v="12479"/>
    <x v="1"/>
    <x v="0"/>
    <x v="0"/>
    <n v="58"/>
    <n v="7"/>
    <n v="520"/>
    <n v="52"/>
    <n v="92491"/>
  </r>
  <r>
    <n v="137"/>
    <x v="2"/>
    <x v="0"/>
    <x v="1"/>
    <n v="5"/>
    <n v="504"/>
    <n v="15"/>
    <s v="Marzo"/>
    <n v="2024"/>
    <n v="17112"/>
    <x v="1"/>
    <x v="1"/>
    <x v="0"/>
    <n v="45"/>
    <n v="7"/>
    <n v="2520"/>
    <n v="378"/>
    <n v="90071"/>
  </r>
  <r>
    <n v="18"/>
    <x v="0"/>
    <x v="3"/>
    <x v="3"/>
    <n v="7"/>
    <n v="184"/>
    <n v="10"/>
    <s v="Abril"/>
    <n v="2025"/>
    <n v="16382"/>
    <x v="0"/>
    <x v="2"/>
    <x v="1"/>
    <n v="42"/>
    <n v="5"/>
    <n v="1288"/>
    <n v="128.80000000000001"/>
    <n v="11685"/>
  </r>
  <r>
    <n v="66"/>
    <x v="0"/>
    <x v="2"/>
    <x v="3"/>
    <n v="6"/>
    <n v="837"/>
    <n v="5"/>
    <s v="Enero"/>
    <n v="2023"/>
    <n v="11981"/>
    <x v="0"/>
    <x v="1"/>
    <x v="1"/>
    <n v="59"/>
    <n v="5"/>
    <n v="5022"/>
    <n v="251.1"/>
    <n v="78403"/>
  </r>
  <r>
    <n v="79"/>
    <x v="0"/>
    <x v="0"/>
    <x v="1"/>
    <n v="7"/>
    <n v="580"/>
    <n v="10"/>
    <s v="Mayo"/>
    <n v="2025"/>
    <n v="13041"/>
    <x v="1"/>
    <x v="2"/>
    <x v="1"/>
    <n v="12"/>
    <n v="5"/>
    <n v="4060"/>
    <n v="406"/>
    <n v="12395"/>
  </r>
  <r>
    <n v="7"/>
    <x v="1"/>
    <x v="2"/>
    <x v="2"/>
    <n v="17"/>
    <n v="744"/>
    <n v="5"/>
    <s v="Abril"/>
    <n v="2024"/>
    <n v="6308"/>
    <x v="1"/>
    <x v="1"/>
    <x v="2"/>
    <n v="90"/>
    <n v="4"/>
    <n v="12648"/>
    <n v="632.4"/>
    <n v="75274"/>
  </r>
  <r>
    <n v="25"/>
    <x v="0"/>
    <x v="1"/>
    <x v="3"/>
    <n v="12"/>
    <n v="816"/>
    <n v="5"/>
    <s v="Mayo"/>
    <n v="2023"/>
    <n v="19045"/>
    <x v="1"/>
    <x v="0"/>
    <x v="1"/>
    <n v="50"/>
    <n v="4"/>
    <n v="9792"/>
    <n v="489.6"/>
    <n v="26422"/>
  </r>
  <r>
    <n v="46"/>
    <x v="4"/>
    <x v="3"/>
    <x v="1"/>
    <n v="14"/>
    <n v="153"/>
    <n v="15"/>
    <s v="Enero"/>
    <n v="2025"/>
    <n v="7573"/>
    <x v="0"/>
    <x v="0"/>
    <x v="1"/>
    <n v="31"/>
    <n v="4"/>
    <n v="2142"/>
    <n v="321.3"/>
    <n v="96088"/>
  </r>
  <r>
    <n v="81"/>
    <x v="2"/>
    <x v="1"/>
    <x v="2"/>
    <n v="3"/>
    <n v="641"/>
    <n v="10"/>
    <s v="Marzo"/>
    <n v="2024"/>
    <n v="17244"/>
    <x v="0"/>
    <x v="1"/>
    <x v="1"/>
    <n v="69"/>
    <n v="4"/>
    <n v="1923"/>
    <n v="192.3"/>
    <n v="47454"/>
  </r>
  <r>
    <n v="117"/>
    <x v="2"/>
    <x v="2"/>
    <x v="1"/>
    <n v="5"/>
    <n v="999"/>
    <n v="5"/>
    <s v="Marzo"/>
    <n v="2023"/>
    <n v="12679"/>
    <x v="0"/>
    <x v="0"/>
    <x v="1"/>
    <n v="85"/>
    <n v="4"/>
    <n v="4995"/>
    <n v="249.75"/>
    <n v="76870"/>
  </r>
  <r>
    <n v="148"/>
    <x v="4"/>
    <x v="1"/>
    <x v="0"/>
    <n v="9"/>
    <n v="912"/>
    <n v="5"/>
    <s v="Enero"/>
    <n v="2025"/>
    <n v="7343"/>
    <x v="0"/>
    <x v="1"/>
    <x v="2"/>
    <n v="35"/>
    <n v="4"/>
    <n v="8208"/>
    <n v="410.4"/>
    <n v="85355"/>
  </r>
  <r>
    <n v="140"/>
    <x v="0"/>
    <x v="3"/>
    <x v="3"/>
    <n v="18"/>
    <n v="744"/>
    <n v="5"/>
    <s v="Abril"/>
    <n v="2024"/>
    <n v="17652"/>
    <x v="0"/>
    <x v="1"/>
    <x v="2"/>
    <n v="51"/>
    <n v="3"/>
    <n v="13392"/>
    <n v="669.6"/>
    <n v="91456"/>
  </r>
  <r>
    <n v="36"/>
    <x v="0"/>
    <x v="1"/>
    <x v="0"/>
    <n v="11"/>
    <n v="650"/>
    <n v="10"/>
    <s v="Enero"/>
    <n v="2024"/>
    <n v="15953"/>
    <x v="1"/>
    <x v="1"/>
    <x v="1"/>
    <n v="83"/>
    <n v="2"/>
    <n v="7150"/>
    <n v="715"/>
    <n v="44201"/>
  </r>
  <r>
    <n v="5"/>
    <x v="4"/>
    <x v="2"/>
    <x v="2"/>
    <n v="9"/>
    <n v="808"/>
    <n v="10"/>
    <s v="Mayo"/>
    <n v="2025"/>
    <n v="14106"/>
    <x v="0"/>
    <x v="0"/>
    <x v="0"/>
    <n v="73"/>
    <n v="1"/>
    <n v="7272"/>
    <n v="727.2"/>
    <n v="97018"/>
  </r>
  <r>
    <n v="16"/>
    <x v="0"/>
    <x v="2"/>
    <x v="3"/>
    <n v="12"/>
    <n v="182"/>
    <n v="15"/>
    <s v="Mayo"/>
    <n v="2025"/>
    <n v="17994"/>
    <x v="0"/>
    <x v="2"/>
    <x v="2"/>
    <n v="54"/>
    <n v="1"/>
    <n v="2184"/>
    <n v="327.60000000000002"/>
    <n v="20224"/>
  </r>
  <r>
    <n v="22"/>
    <x v="2"/>
    <x v="1"/>
    <x v="2"/>
    <n v="16"/>
    <n v="100"/>
    <n v="10"/>
    <s v="Enero"/>
    <n v="2025"/>
    <n v="5804"/>
    <x v="1"/>
    <x v="0"/>
    <x v="2"/>
    <n v="95"/>
    <n v="1"/>
    <n v="1600"/>
    <n v="160"/>
    <n v="8452"/>
  </r>
  <r>
    <n v="71"/>
    <x v="2"/>
    <x v="0"/>
    <x v="3"/>
    <n v="19"/>
    <n v="897"/>
    <n v="15"/>
    <s v="Marzo"/>
    <n v="2023"/>
    <n v="13232"/>
    <x v="1"/>
    <x v="2"/>
    <x v="0"/>
    <n v="84"/>
    <n v="1"/>
    <n v="17043"/>
    <n v="2556.4499999999998"/>
    <n v="76247"/>
  </r>
  <r>
    <n v="26"/>
    <x v="4"/>
    <x v="2"/>
    <x v="2"/>
    <n v="4"/>
    <n v="871"/>
    <n v="5"/>
    <s v="Febrero"/>
    <n v="2024"/>
    <n v="18192"/>
    <x v="1"/>
    <x v="1"/>
    <x v="1"/>
    <n v="26"/>
    <n v="0"/>
    <n v="3484"/>
    <n v="174.2"/>
    <n v="74525"/>
  </r>
  <r>
    <n v="45"/>
    <x v="0"/>
    <x v="0"/>
    <x v="2"/>
    <n v="7"/>
    <n v="367"/>
    <n v="10"/>
    <s v="Marzo"/>
    <n v="2025"/>
    <n v="16472"/>
    <x v="0"/>
    <x v="1"/>
    <x v="0"/>
    <n v="35"/>
    <n v="0"/>
    <n v="2569"/>
    <n v="256.89999999999998"/>
    <n v="83932"/>
  </r>
  <r>
    <n v="51"/>
    <x v="0"/>
    <x v="1"/>
    <x v="3"/>
    <n v="18"/>
    <n v="924"/>
    <n v="10"/>
    <s v="Enero"/>
    <n v="2024"/>
    <n v="6304"/>
    <x v="1"/>
    <x v="0"/>
    <x v="1"/>
    <n v="24"/>
    <n v="0"/>
    <n v="16632"/>
    <n v="1663.2"/>
    <n v="2698"/>
  </r>
  <r>
    <n v="77"/>
    <x v="2"/>
    <x v="0"/>
    <x v="3"/>
    <n v="8"/>
    <n v="348"/>
    <n v="0"/>
    <s v="Enero"/>
    <n v="2025"/>
    <n v="17875"/>
    <x v="0"/>
    <x v="2"/>
    <x v="2"/>
    <n v="31"/>
    <n v="0"/>
    <n v="2784"/>
    <n v="0"/>
    <n v="63222"/>
  </r>
  <r>
    <n v="112"/>
    <x v="2"/>
    <x v="0"/>
    <x v="0"/>
    <n v="12"/>
    <n v="194"/>
    <n v="15"/>
    <s v="Abril"/>
    <n v="2023"/>
    <n v="9124"/>
    <x v="0"/>
    <x v="0"/>
    <x v="0"/>
    <n v="70"/>
    <n v="0"/>
    <n v="2328"/>
    <n v="349.2"/>
    <n v="14287"/>
  </r>
  <r>
    <n v="122"/>
    <x v="1"/>
    <x v="1"/>
    <x v="2"/>
    <n v="1"/>
    <n v="294"/>
    <n v="0"/>
    <s v="Marzo"/>
    <n v="2025"/>
    <n v="14442"/>
    <x v="0"/>
    <x v="0"/>
    <x v="1"/>
    <n v="70"/>
    <n v="0"/>
    <n v="294"/>
    <n v="0"/>
    <n v="60967"/>
  </r>
  <r>
    <n v="142"/>
    <x v="2"/>
    <x v="1"/>
    <x v="0"/>
    <n v="17"/>
    <n v="623"/>
    <n v="5"/>
    <s v="Mayo"/>
    <n v="2024"/>
    <n v="5481"/>
    <x v="1"/>
    <x v="0"/>
    <x v="1"/>
    <n v="21"/>
    <n v="0"/>
    <n v="10591"/>
    <n v="529.54999999999995"/>
    <n v="849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8" indent="0" outline="1" outlineData="1" multipleFieldFilters="0" chartFormat="23" rowHeaderCaption="Vendedor">
  <location ref="A3:F10" firstHeaderRow="1" firstDataRow="2" firstDataCol="1"/>
  <pivotFields count="18">
    <pivotField showAll="0"/>
    <pivotField axis="axisRow" showAll="0" sortType="descending">
      <items count="6">
        <item x="0"/>
        <item x="1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0"/>
        <item x="3"/>
        <item x="2"/>
        <item x="1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4"/>
    </i>
    <i>
      <x v="2"/>
    </i>
    <i>
      <x v="3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a de Total Venta" fld="17" baseField="0" baseItem="0" numFmtId="44"/>
  </dataFields>
  <formats count="1">
    <format dxfId="0">
      <pivotArea outline="0" collapsedLevelsAreSubtotals="1" fieldPosition="0"/>
    </format>
  </formats>
  <chartFormats count="76"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2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2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2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2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2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12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"/>
          </reference>
        </references>
      </pivotArea>
    </chartFormat>
    <chartFormat chart="12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12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12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12" format="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12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"/>
          </reference>
        </references>
      </pivotArea>
    </chartFormat>
    <chartFormat chart="12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12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12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12" format="6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12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3"/>
          </reference>
        </references>
      </pivotArea>
    </chartFormat>
    <chartFormat chart="12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12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12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3"/>
          </reference>
        </references>
      </pivotArea>
    </chartFormat>
    <chartFormat chart="18" format="9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8" format="9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8" format="9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18" format="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8" format="9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18" format="9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18" format="9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8" format="99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18" format="100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"/>
          </reference>
        </references>
      </pivotArea>
    </chartFormat>
    <chartFormat chart="18" format="10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18" format="102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18" format="10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18" format="10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8" format="10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18" format="10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"/>
          </reference>
        </references>
      </pivotArea>
    </chartFormat>
    <chartFormat chart="18" format="10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18" format="10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18" format="10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18" format="1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8" format="11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18" format="11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3"/>
          </reference>
        </references>
      </pivotArea>
    </chartFormat>
    <chartFormat chart="18" format="1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18" format="11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18" format="11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3"/>
          </reference>
        </references>
      </pivotArea>
    </chartFormat>
    <chartFormat chart="6" format="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  <chartFormat chart="6" format="2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6" format="22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0"/>
          </reference>
        </references>
      </pivotArea>
    </chartFormat>
    <chartFormat chart="6" format="2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6" format="2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0"/>
          </reference>
        </references>
      </pivotArea>
    </chartFormat>
    <chartFormat chart="6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chartFormat>
    <chartFormat chart="6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1"/>
          </reference>
        </references>
      </pivotArea>
    </chartFormat>
    <chartFormat chart="6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1"/>
          </reference>
        </references>
      </pivotArea>
    </chartFormat>
    <chartFormat chart="6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1"/>
          </reference>
        </references>
      </pivotArea>
    </chartFormat>
    <chartFormat chart="6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6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2"/>
          </reference>
        </references>
      </pivotArea>
    </chartFormat>
    <chartFormat chart="6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6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6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2"/>
          </reference>
        </references>
      </pivotArea>
    </chartFormat>
    <chartFormat chart="6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chartFormat>
    <chartFormat chart="6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2" count="1" selected="0">
            <x v="3"/>
          </reference>
        </references>
      </pivotArea>
    </chartFormat>
    <chartFormat chart="6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3"/>
          </reference>
        </references>
      </pivotArea>
    </chartFormat>
    <chartFormat chart="6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3"/>
          </reference>
        </references>
      </pivotArea>
    </chartFormat>
    <chartFormat chart="6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Vendedor" sourceName="Vendedor">
  <pivotTables>
    <pivotTable tabId="41" name="TablaDinámica1"/>
  </pivotTables>
  <data>
    <tabular pivotCacheId="1437794145">
      <items count="5">
        <i x="0" s="1"/>
        <i x="1" s="1"/>
        <i x="4" s="1"/>
        <i x="3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Región" sourceName="Región">
  <pivotTables>
    <pivotTable tabId="41" name="TablaDinámica1"/>
  </pivotTables>
  <data>
    <tabular pivotCacheId="1437794145">
      <items count="4">
        <i x="0" s="1"/>
        <i x="3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Producto" sourceName="Producto">
  <pivotTables>
    <pivotTable tabId="41" name="TablaDinámica1"/>
  </pivotTables>
  <data>
    <tabular pivotCacheId="1437794145">
      <items count="4">
        <i x="2" s="1"/>
        <i x="0" s="1"/>
        <i x="1" s="1"/>
        <i x="3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liente_Frecuente" sourceName="Cliente Frecuente">
  <pivotTables>
    <pivotTable tabId="41" name="TablaDinámica1"/>
  </pivotTables>
  <data>
    <tabular pivotCacheId="1437794145">
      <items count="2">
        <i x="0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Método_de_Pago" sourceName="Método de Pago">
  <pivotTables>
    <pivotTable tabId="41" name="TablaDinámica1"/>
  </pivotTables>
  <data>
    <tabular pivotCacheId="1437794145">
      <items count="3">
        <i x="2" s="1"/>
        <i x="0" s="1"/>
        <i x="1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ategoría_Producto" sourceName="Categoría Producto">
  <pivotTables>
    <pivotTable tabId="41" name="TablaDinámica1"/>
  </pivotTables>
  <data>
    <tabular pivotCacheId="1437794145">
      <items count="3"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Vendedor" cache="SegmentaciónDeDatos_Vendedor" caption="Vendedor" columnCount="3" rowHeight="249238"/>
  <slicer name="Región" cache="SegmentaciónDeDatos_Región" caption="Región" columnCount="2" rowHeight="249238"/>
  <slicer name="Producto" cache="SegmentaciónDeDatos_Producto" caption="Producto" columnCount="2" rowHeight="249238"/>
  <slicer name="Cliente Frecuente" cache="SegmentaciónDeDatos_Cliente_Frecuente" caption="Cliente Frecuente" rowHeight="249238"/>
  <slicer name="Método de Pago" cache="SegmentaciónDeDatos_Método_de_Pago" caption="Método de Pago" rowHeight="249238"/>
  <slicer name="Categoría Producto" cache="SegmentaciónDeDatos_Categoría_Producto" caption="Categoría Producto" rowHeight="249238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abSelected="1" workbookViewId="0"/>
  </sheetViews>
  <sheetFormatPr baseColWidth="10"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topLeftCell="A2" workbookViewId="0">
      <selection activeCell="N19" sqref="N19"/>
    </sheetView>
  </sheetViews>
  <sheetFormatPr baseColWidth="10" defaultRowHeight="14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N10" sqref="N10"/>
    </sheetView>
  </sheetViews>
  <sheetFormatPr baseColWidth="10" defaultRowHeight="14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N23" sqref="N23"/>
    </sheetView>
  </sheetViews>
  <sheetFormatPr baseColWidth="10" defaultRowHeight="14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1"/>
  <sheetViews>
    <sheetView workbookViewId="0">
      <selection activeCell="S4" sqref="S4"/>
    </sheetView>
  </sheetViews>
  <sheetFormatPr baseColWidth="10" defaultRowHeight="14.25"/>
  <cols>
    <col min="1" max="4" width="11.375" style="2"/>
    <col min="5" max="5" width="11.375" style="2" customWidth="1"/>
    <col min="6" max="14" width="11.375" style="2"/>
    <col min="15" max="15" width="14.375" style="2" customWidth="1"/>
    <col min="16" max="17" width="11.375" style="2"/>
    <col min="18" max="18" width="13.375" style="2" bestFit="1" customWidth="1"/>
    <col min="19" max="19" width="21.25" customWidth="1"/>
  </cols>
  <sheetData>
    <row r="1" spans="1:20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20">
      <c r="A2" s="2">
        <v>69</v>
      </c>
      <c r="B2" s="2" t="s">
        <v>18</v>
      </c>
      <c r="C2" s="2" t="s">
        <v>31</v>
      </c>
      <c r="D2" s="2" t="s">
        <v>42</v>
      </c>
      <c r="E2" s="2">
        <v>7</v>
      </c>
      <c r="F2" s="2">
        <v>197</v>
      </c>
      <c r="G2" s="2">
        <v>0</v>
      </c>
      <c r="H2" s="2" t="s">
        <v>41</v>
      </c>
      <c r="I2" s="2">
        <v>2025</v>
      </c>
      <c r="J2" s="2">
        <v>15281</v>
      </c>
      <c r="K2" s="2" t="s">
        <v>36</v>
      </c>
      <c r="L2" s="2" t="s">
        <v>29</v>
      </c>
      <c r="M2" s="2" t="s">
        <v>37</v>
      </c>
      <c r="N2" s="2">
        <v>71</v>
      </c>
      <c r="O2" s="2">
        <v>49</v>
      </c>
      <c r="P2" s="2">
        <v>1379</v>
      </c>
      <c r="Q2" s="2">
        <v>0</v>
      </c>
      <c r="R2" s="21">
        <f ca="1">RANDBETWEEN(2222,99999)</f>
        <v>38282</v>
      </c>
    </row>
    <row r="3" spans="1:20">
      <c r="A3" s="2">
        <v>88</v>
      </c>
      <c r="B3" s="2" t="s">
        <v>25</v>
      </c>
      <c r="C3" s="2" t="s">
        <v>19</v>
      </c>
      <c r="D3" s="2" t="s">
        <v>40</v>
      </c>
      <c r="E3" s="2">
        <v>13</v>
      </c>
      <c r="F3" s="2">
        <v>999</v>
      </c>
      <c r="G3" s="2">
        <v>15</v>
      </c>
      <c r="H3" s="2" t="s">
        <v>35</v>
      </c>
      <c r="I3" s="2">
        <v>2024</v>
      </c>
      <c r="J3" s="2">
        <v>19603</v>
      </c>
      <c r="K3" s="2" t="s">
        <v>22</v>
      </c>
      <c r="L3" s="2" t="s">
        <v>29</v>
      </c>
      <c r="M3" s="2" t="s">
        <v>37</v>
      </c>
      <c r="N3" s="2">
        <v>22</v>
      </c>
      <c r="O3" s="2">
        <v>49</v>
      </c>
      <c r="P3" s="2">
        <v>12987</v>
      </c>
      <c r="Q3" s="2">
        <v>1948.05</v>
      </c>
      <c r="R3" s="21">
        <f t="shared" ref="R3:R66" ca="1" si="0">RANDBETWEEN(2222,99999)</f>
        <v>53188</v>
      </c>
    </row>
    <row r="4" spans="1:20" ht="18.75" customHeight="1">
      <c r="A4" s="2">
        <v>93</v>
      </c>
      <c r="B4" s="2" t="s">
        <v>25</v>
      </c>
      <c r="C4" s="2" t="s">
        <v>31</v>
      </c>
      <c r="D4" s="2" t="s">
        <v>40</v>
      </c>
      <c r="E4" s="2">
        <v>5</v>
      </c>
      <c r="F4" s="2">
        <v>884</v>
      </c>
      <c r="G4" s="2">
        <v>5</v>
      </c>
      <c r="H4" s="2" t="s">
        <v>41</v>
      </c>
      <c r="I4" s="2">
        <v>2024</v>
      </c>
      <c r="J4" s="2">
        <v>14900</v>
      </c>
      <c r="K4" s="2" t="s">
        <v>22</v>
      </c>
      <c r="L4" s="2" t="s">
        <v>29</v>
      </c>
      <c r="M4" s="2" t="s">
        <v>37</v>
      </c>
      <c r="N4" s="2">
        <v>54</v>
      </c>
      <c r="O4" s="2">
        <v>49</v>
      </c>
      <c r="P4" s="2">
        <v>4420</v>
      </c>
      <c r="Q4" s="2">
        <v>221</v>
      </c>
      <c r="R4" s="21">
        <f t="shared" ca="1" si="0"/>
        <v>65567</v>
      </c>
      <c r="S4" s="3"/>
    </row>
    <row r="5" spans="1:20">
      <c r="A5" s="2">
        <v>99</v>
      </c>
      <c r="B5" s="2" t="s">
        <v>34</v>
      </c>
      <c r="C5" s="2" t="s">
        <v>39</v>
      </c>
      <c r="D5" s="2" t="s">
        <v>42</v>
      </c>
      <c r="E5" s="2">
        <v>9</v>
      </c>
      <c r="F5" s="2">
        <v>152</v>
      </c>
      <c r="G5" s="2">
        <v>15</v>
      </c>
      <c r="H5" s="2" t="s">
        <v>21</v>
      </c>
      <c r="I5" s="2">
        <v>2024</v>
      </c>
      <c r="J5" s="2">
        <v>7681</v>
      </c>
      <c r="K5" s="2" t="s">
        <v>36</v>
      </c>
      <c r="L5" s="2" t="s">
        <v>29</v>
      </c>
      <c r="M5" s="2" t="s">
        <v>24</v>
      </c>
      <c r="N5" s="2">
        <v>53</v>
      </c>
      <c r="O5" s="2">
        <v>49</v>
      </c>
      <c r="P5" s="2">
        <v>1368</v>
      </c>
      <c r="Q5" s="2">
        <v>205.2</v>
      </c>
      <c r="R5" s="21">
        <f t="shared" ca="1" si="0"/>
        <v>56731</v>
      </c>
      <c r="T5" s="5"/>
    </row>
    <row r="6" spans="1:20">
      <c r="A6" s="2">
        <v>107</v>
      </c>
      <c r="B6" s="2" t="s">
        <v>43</v>
      </c>
      <c r="C6" s="2" t="s">
        <v>19</v>
      </c>
      <c r="D6" s="2" t="s">
        <v>42</v>
      </c>
      <c r="E6" s="2">
        <v>12</v>
      </c>
      <c r="F6" s="2">
        <v>210</v>
      </c>
      <c r="G6" s="2">
        <v>5</v>
      </c>
      <c r="H6" s="2" t="s">
        <v>32</v>
      </c>
      <c r="I6" s="2">
        <v>2024</v>
      </c>
      <c r="J6" s="2">
        <v>7866</v>
      </c>
      <c r="K6" s="2" t="s">
        <v>36</v>
      </c>
      <c r="L6" s="2" t="s">
        <v>23</v>
      </c>
      <c r="M6" s="2" t="s">
        <v>37</v>
      </c>
      <c r="N6" s="2">
        <v>68</v>
      </c>
      <c r="O6" s="2">
        <v>49</v>
      </c>
      <c r="P6" s="2">
        <v>2520</v>
      </c>
      <c r="Q6" s="2">
        <v>126</v>
      </c>
      <c r="R6" s="21">
        <f t="shared" ca="1" si="0"/>
        <v>91462</v>
      </c>
    </row>
    <row r="7" spans="1:20">
      <c r="A7" s="2">
        <v>110</v>
      </c>
      <c r="B7" s="2" t="s">
        <v>38</v>
      </c>
      <c r="C7" s="2" t="s">
        <v>39</v>
      </c>
      <c r="D7" s="2" t="s">
        <v>42</v>
      </c>
      <c r="E7" s="2">
        <v>8</v>
      </c>
      <c r="F7" s="2">
        <v>282</v>
      </c>
      <c r="G7" s="2">
        <v>5</v>
      </c>
      <c r="H7" s="2" t="s">
        <v>32</v>
      </c>
      <c r="I7" s="2">
        <v>2024</v>
      </c>
      <c r="J7" s="2">
        <v>10490</v>
      </c>
      <c r="K7" s="2" t="s">
        <v>36</v>
      </c>
      <c r="L7" s="2" t="s">
        <v>33</v>
      </c>
      <c r="M7" s="2" t="s">
        <v>30</v>
      </c>
      <c r="N7" s="2">
        <v>83</v>
      </c>
      <c r="O7" s="2">
        <v>49</v>
      </c>
      <c r="P7" s="2">
        <v>2256</v>
      </c>
      <c r="Q7" s="2">
        <v>112.8</v>
      </c>
      <c r="R7" s="21">
        <f t="shared" ca="1" si="0"/>
        <v>66370</v>
      </c>
    </row>
    <row r="8" spans="1:20">
      <c r="A8" s="2">
        <v>127</v>
      </c>
      <c r="B8" s="2" t="s">
        <v>25</v>
      </c>
      <c r="C8" s="2" t="s">
        <v>31</v>
      </c>
      <c r="D8" s="2" t="s">
        <v>20</v>
      </c>
      <c r="E8" s="2">
        <v>3</v>
      </c>
      <c r="F8" s="2">
        <v>733</v>
      </c>
      <c r="G8" s="2">
        <v>15</v>
      </c>
      <c r="H8" s="2" t="s">
        <v>21</v>
      </c>
      <c r="I8" s="2">
        <v>2023</v>
      </c>
      <c r="J8" s="2">
        <v>7711</v>
      </c>
      <c r="K8" s="2" t="s">
        <v>36</v>
      </c>
      <c r="L8" s="2" t="s">
        <v>23</v>
      </c>
      <c r="M8" s="2" t="s">
        <v>37</v>
      </c>
      <c r="N8" s="2">
        <v>29</v>
      </c>
      <c r="O8" s="2">
        <v>49</v>
      </c>
      <c r="P8" s="2">
        <v>2199</v>
      </c>
      <c r="Q8" s="2">
        <v>329.85</v>
      </c>
      <c r="R8" s="21">
        <f t="shared" ca="1" si="0"/>
        <v>24035</v>
      </c>
    </row>
    <row r="9" spans="1:20">
      <c r="A9" s="2">
        <v>60</v>
      </c>
      <c r="B9" s="2" t="s">
        <v>25</v>
      </c>
      <c r="C9" s="2" t="s">
        <v>26</v>
      </c>
      <c r="D9" s="2" t="s">
        <v>20</v>
      </c>
      <c r="E9" s="2">
        <v>1</v>
      </c>
      <c r="F9" s="2">
        <v>174</v>
      </c>
      <c r="G9" s="2">
        <v>10</v>
      </c>
      <c r="H9" s="2" t="s">
        <v>32</v>
      </c>
      <c r="I9" s="2">
        <v>2024</v>
      </c>
      <c r="J9" s="2">
        <v>15268</v>
      </c>
      <c r="K9" s="2" t="s">
        <v>36</v>
      </c>
      <c r="L9" s="2" t="s">
        <v>33</v>
      </c>
      <c r="M9" s="2" t="s">
        <v>37</v>
      </c>
      <c r="N9" s="2">
        <v>82</v>
      </c>
      <c r="O9" s="2">
        <v>48</v>
      </c>
      <c r="P9" s="2">
        <v>174</v>
      </c>
      <c r="Q9" s="2">
        <v>17.399999999999999</v>
      </c>
      <c r="R9" s="21">
        <f t="shared" ca="1" si="0"/>
        <v>95041</v>
      </c>
    </row>
    <row r="10" spans="1:20">
      <c r="A10" s="2">
        <v>61</v>
      </c>
      <c r="B10" s="2" t="s">
        <v>43</v>
      </c>
      <c r="C10" s="2" t="s">
        <v>39</v>
      </c>
      <c r="D10" s="2" t="s">
        <v>27</v>
      </c>
      <c r="E10" s="2">
        <v>17</v>
      </c>
      <c r="F10" s="2">
        <v>534</v>
      </c>
      <c r="G10" s="2">
        <v>0</v>
      </c>
      <c r="H10" s="2" t="s">
        <v>32</v>
      </c>
      <c r="I10" s="2">
        <v>2023</v>
      </c>
      <c r="J10" s="2">
        <v>16372</v>
      </c>
      <c r="K10" s="2" t="s">
        <v>22</v>
      </c>
      <c r="L10" s="2" t="s">
        <v>23</v>
      </c>
      <c r="M10" s="2" t="s">
        <v>37</v>
      </c>
      <c r="N10" s="2">
        <v>41</v>
      </c>
      <c r="O10" s="2">
        <v>48</v>
      </c>
      <c r="P10" s="2">
        <v>9078</v>
      </c>
      <c r="Q10" s="2">
        <v>0</v>
      </c>
      <c r="R10" s="21">
        <f t="shared" ca="1" si="0"/>
        <v>60972</v>
      </c>
    </row>
    <row r="11" spans="1:20">
      <c r="A11" s="2">
        <v>83</v>
      </c>
      <c r="B11" s="2" t="s">
        <v>43</v>
      </c>
      <c r="C11" s="2" t="s">
        <v>19</v>
      </c>
      <c r="D11" s="2" t="s">
        <v>20</v>
      </c>
      <c r="E11" s="2">
        <v>17</v>
      </c>
      <c r="F11" s="2">
        <v>205</v>
      </c>
      <c r="G11" s="2">
        <v>5</v>
      </c>
      <c r="H11" s="2" t="s">
        <v>28</v>
      </c>
      <c r="I11" s="2">
        <v>2023</v>
      </c>
      <c r="J11" s="2">
        <v>12992</v>
      </c>
      <c r="K11" s="2" t="s">
        <v>36</v>
      </c>
      <c r="L11" s="2" t="s">
        <v>33</v>
      </c>
      <c r="M11" s="2" t="s">
        <v>37</v>
      </c>
      <c r="N11" s="2">
        <v>84</v>
      </c>
      <c r="O11" s="2">
        <v>48</v>
      </c>
      <c r="P11" s="2">
        <v>3485</v>
      </c>
      <c r="Q11" s="2">
        <v>174.25</v>
      </c>
      <c r="R11" s="21">
        <f t="shared" ca="1" si="0"/>
        <v>72674</v>
      </c>
    </row>
    <row r="12" spans="1:20">
      <c r="A12" s="2">
        <v>134</v>
      </c>
      <c r="B12" s="2" t="s">
        <v>34</v>
      </c>
      <c r="C12" s="2" t="s">
        <v>26</v>
      </c>
      <c r="D12" s="2" t="s">
        <v>20</v>
      </c>
      <c r="E12" s="2">
        <v>10</v>
      </c>
      <c r="F12" s="2">
        <v>781</v>
      </c>
      <c r="G12" s="2">
        <v>15</v>
      </c>
      <c r="H12" s="2" t="s">
        <v>41</v>
      </c>
      <c r="I12" s="2">
        <v>2024</v>
      </c>
      <c r="J12" s="2">
        <v>12715</v>
      </c>
      <c r="K12" s="2" t="s">
        <v>36</v>
      </c>
      <c r="L12" s="2" t="s">
        <v>23</v>
      </c>
      <c r="M12" s="2" t="s">
        <v>30</v>
      </c>
      <c r="N12" s="2">
        <v>75</v>
      </c>
      <c r="O12" s="2">
        <v>48</v>
      </c>
      <c r="P12" s="2">
        <v>7810</v>
      </c>
      <c r="Q12" s="2">
        <v>1171.5</v>
      </c>
      <c r="R12" s="21">
        <f t="shared" ca="1" si="0"/>
        <v>28981</v>
      </c>
    </row>
    <row r="13" spans="1:20">
      <c r="A13" s="2">
        <v>147</v>
      </c>
      <c r="B13" s="2" t="s">
        <v>18</v>
      </c>
      <c r="C13" s="2" t="s">
        <v>39</v>
      </c>
      <c r="D13" s="2" t="s">
        <v>40</v>
      </c>
      <c r="E13" s="2">
        <v>2</v>
      </c>
      <c r="F13" s="2">
        <v>829</v>
      </c>
      <c r="G13" s="2">
        <v>0</v>
      </c>
      <c r="H13" s="2" t="s">
        <v>21</v>
      </c>
      <c r="I13" s="2">
        <v>2024</v>
      </c>
      <c r="J13" s="2">
        <v>7120</v>
      </c>
      <c r="K13" s="2" t="s">
        <v>22</v>
      </c>
      <c r="L13" s="2" t="s">
        <v>33</v>
      </c>
      <c r="M13" s="2" t="s">
        <v>37</v>
      </c>
      <c r="N13" s="2">
        <v>24</v>
      </c>
      <c r="O13" s="2">
        <v>47</v>
      </c>
      <c r="P13" s="2">
        <v>1658</v>
      </c>
      <c r="Q13" s="2">
        <v>0</v>
      </c>
      <c r="R13" s="21">
        <f t="shared" ca="1" si="0"/>
        <v>74339</v>
      </c>
    </row>
    <row r="14" spans="1:20">
      <c r="A14" s="2">
        <v>11</v>
      </c>
      <c r="B14" s="2" t="s">
        <v>18</v>
      </c>
      <c r="C14" s="2" t="s">
        <v>39</v>
      </c>
      <c r="D14" s="2" t="s">
        <v>20</v>
      </c>
      <c r="E14" s="2">
        <v>17</v>
      </c>
      <c r="F14" s="2">
        <v>122</v>
      </c>
      <c r="G14" s="2">
        <v>0</v>
      </c>
      <c r="H14" s="2" t="s">
        <v>35</v>
      </c>
      <c r="I14" s="2">
        <v>2024</v>
      </c>
      <c r="J14" s="2">
        <v>11852</v>
      </c>
      <c r="K14" s="2" t="s">
        <v>22</v>
      </c>
      <c r="L14" s="2" t="s">
        <v>29</v>
      </c>
      <c r="M14" s="2" t="s">
        <v>30</v>
      </c>
      <c r="N14" s="2">
        <v>73</v>
      </c>
      <c r="O14" s="2">
        <v>46</v>
      </c>
      <c r="P14" s="2">
        <v>2074</v>
      </c>
      <c r="Q14" s="2">
        <v>0</v>
      </c>
      <c r="R14" s="21">
        <f t="shared" ca="1" si="0"/>
        <v>76123</v>
      </c>
    </row>
    <row r="15" spans="1:20">
      <c r="A15" s="2">
        <v>32</v>
      </c>
      <c r="B15" s="2" t="s">
        <v>43</v>
      </c>
      <c r="C15" s="2" t="s">
        <v>19</v>
      </c>
      <c r="D15" s="2" t="s">
        <v>27</v>
      </c>
      <c r="E15" s="2">
        <v>14</v>
      </c>
      <c r="F15" s="2">
        <v>133</v>
      </c>
      <c r="G15" s="2">
        <v>5</v>
      </c>
      <c r="H15" s="2" t="s">
        <v>41</v>
      </c>
      <c r="I15" s="2">
        <v>2025</v>
      </c>
      <c r="J15" s="2">
        <v>16093</v>
      </c>
      <c r="K15" s="2" t="s">
        <v>36</v>
      </c>
      <c r="L15" s="2" t="s">
        <v>29</v>
      </c>
      <c r="M15" s="2" t="s">
        <v>37</v>
      </c>
      <c r="N15" s="2">
        <v>63</v>
      </c>
      <c r="O15" s="2">
        <v>46</v>
      </c>
      <c r="P15" s="2">
        <v>1862</v>
      </c>
      <c r="Q15" s="2">
        <v>93.1</v>
      </c>
      <c r="R15" s="21">
        <f t="shared" ca="1" si="0"/>
        <v>6658</v>
      </c>
    </row>
    <row r="16" spans="1:20">
      <c r="A16" s="2">
        <v>56</v>
      </c>
      <c r="B16" s="2" t="s">
        <v>34</v>
      </c>
      <c r="C16" s="2" t="s">
        <v>19</v>
      </c>
      <c r="D16" s="2" t="s">
        <v>42</v>
      </c>
      <c r="E16" s="2">
        <v>19</v>
      </c>
      <c r="F16" s="2">
        <v>306</v>
      </c>
      <c r="G16" s="2">
        <v>10</v>
      </c>
      <c r="H16" s="2" t="s">
        <v>32</v>
      </c>
      <c r="I16" s="2">
        <v>2025</v>
      </c>
      <c r="J16" s="2">
        <v>7541</v>
      </c>
      <c r="K16" s="2" t="s">
        <v>36</v>
      </c>
      <c r="L16" s="2" t="s">
        <v>29</v>
      </c>
      <c r="M16" s="2" t="s">
        <v>30</v>
      </c>
      <c r="N16" s="2">
        <v>76</v>
      </c>
      <c r="O16" s="2">
        <v>46</v>
      </c>
      <c r="P16" s="2">
        <v>5814</v>
      </c>
      <c r="Q16" s="2">
        <v>581.4</v>
      </c>
      <c r="R16" s="21">
        <f t="shared" ca="1" si="0"/>
        <v>97370</v>
      </c>
    </row>
    <row r="17" spans="1:18">
      <c r="A17" s="2">
        <v>64</v>
      </c>
      <c r="B17" s="2" t="s">
        <v>34</v>
      </c>
      <c r="C17" s="2" t="s">
        <v>39</v>
      </c>
      <c r="D17" s="2" t="s">
        <v>27</v>
      </c>
      <c r="E17" s="2">
        <v>4</v>
      </c>
      <c r="F17" s="2">
        <v>803</v>
      </c>
      <c r="G17" s="2">
        <v>5</v>
      </c>
      <c r="H17" s="2" t="s">
        <v>21</v>
      </c>
      <c r="I17" s="2">
        <v>2023</v>
      </c>
      <c r="J17" s="2">
        <v>13996</v>
      </c>
      <c r="K17" s="2" t="s">
        <v>36</v>
      </c>
      <c r="L17" s="2" t="s">
        <v>29</v>
      </c>
      <c r="M17" s="2" t="s">
        <v>24</v>
      </c>
      <c r="N17" s="2">
        <v>17</v>
      </c>
      <c r="O17" s="2">
        <v>46</v>
      </c>
      <c r="P17" s="2">
        <v>3212</v>
      </c>
      <c r="Q17" s="2">
        <v>160.6</v>
      </c>
      <c r="R17" s="21">
        <f t="shared" ca="1" si="0"/>
        <v>24126</v>
      </c>
    </row>
    <row r="18" spans="1:18">
      <c r="A18" s="2">
        <v>97</v>
      </c>
      <c r="B18" s="2" t="s">
        <v>25</v>
      </c>
      <c r="C18" s="2" t="s">
        <v>26</v>
      </c>
      <c r="D18" s="2" t="s">
        <v>27</v>
      </c>
      <c r="E18" s="2">
        <v>18</v>
      </c>
      <c r="F18" s="2">
        <v>645</v>
      </c>
      <c r="G18" s="2">
        <v>5</v>
      </c>
      <c r="H18" s="2" t="s">
        <v>41</v>
      </c>
      <c r="I18" s="2">
        <v>2024</v>
      </c>
      <c r="J18" s="2">
        <v>12643</v>
      </c>
      <c r="K18" s="2" t="s">
        <v>36</v>
      </c>
      <c r="L18" s="2" t="s">
        <v>29</v>
      </c>
      <c r="M18" s="2" t="s">
        <v>30</v>
      </c>
      <c r="N18" s="2">
        <v>41</v>
      </c>
      <c r="O18" s="2">
        <v>46</v>
      </c>
      <c r="P18" s="2">
        <v>11610</v>
      </c>
      <c r="Q18" s="2">
        <v>580.5</v>
      </c>
      <c r="R18" s="21">
        <f t="shared" ca="1" si="0"/>
        <v>24091</v>
      </c>
    </row>
    <row r="19" spans="1:18">
      <c r="A19" s="2">
        <v>118</v>
      </c>
      <c r="B19" s="2" t="s">
        <v>25</v>
      </c>
      <c r="C19" s="2" t="s">
        <v>26</v>
      </c>
      <c r="D19" s="2" t="s">
        <v>27</v>
      </c>
      <c r="E19" s="2">
        <v>9</v>
      </c>
      <c r="F19" s="2">
        <v>795</v>
      </c>
      <c r="G19" s="2">
        <v>5</v>
      </c>
      <c r="H19" s="2" t="s">
        <v>28</v>
      </c>
      <c r="I19" s="2">
        <v>2023</v>
      </c>
      <c r="J19" s="2">
        <v>11819</v>
      </c>
      <c r="K19" s="2" t="s">
        <v>22</v>
      </c>
      <c r="L19" s="2" t="s">
        <v>29</v>
      </c>
      <c r="M19" s="2" t="s">
        <v>30</v>
      </c>
      <c r="N19" s="2">
        <v>58</v>
      </c>
      <c r="O19" s="2">
        <v>46</v>
      </c>
      <c r="P19" s="2">
        <v>7155</v>
      </c>
      <c r="Q19" s="2">
        <v>357.75</v>
      </c>
      <c r="R19" s="21">
        <f t="shared" ca="1" si="0"/>
        <v>57165</v>
      </c>
    </row>
    <row r="20" spans="1:18">
      <c r="A20" s="2">
        <v>120</v>
      </c>
      <c r="B20" s="2" t="s">
        <v>18</v>
      </c>
      <c r="C20" s="2" t="s">
        <v>39</v>
      </c>
      <c r="D20" s="2" t="s">
        <v>20</v>
      </c>
      <c r="E20" s="2">
        <v>17</v>
      </c>
      <c r="F20" s="2">
        <v>294</v>
      </c>
      <c r="G20" s="2">
        <v>15</v>
      </c>
      <c r="H20" s="2" t="s">
        <v>35</v>
      </c>
      <c r="I20" s="2">
        <v>2025</v>
      </c>
      <c r="J20" s="2">
        <v>13378</v>
      </c>
      <c r="K20" s="2" t="s">
        <v>22</v>
      </c>
      <c r="L20" s="2" t="s">
        <v>29</v>
      </c>
      <c r="M20" s="2" t="s">
        <v>37</v>
      </c>
      <c r="N20" s="2">
        <v>40</v>
      </c>
      <c r="O20" s="2">
        <v>46</v>
      </c>
      <c r="P20" s="2">
        <v>4998</v>
      </c>
      <c r="Q20" s="2">
        <v>749.7</v>
      </c>
      <c r="R20" s="21">
        <f t="shared" ca="1" si="0"/>
        <v>70667</v>
      </c>
    </row>
    <row r="21" spans="1:18">
      <c r="A21" s="2">
        <v>132</v>
      </c>
      <c r="B21" s="2" t="s">
        <v>18</v>
      </c>
      <c r="C21" s="2" t="s">
        <v>26</v>
      </c>
      <c r="D21" s="2" t="s">
        <v>42</v>
      </c>
      <c r="E21" s="2">
        <v>15</v>
      </c>
      <c r="F21" s="2">
        <v>565</v>
      </c>
      <c r="G21" s="2">
        <v>5</v>
      </c>
      <c r="H21" s="2" t="s">
        <v>32</v>
      </c>
      <c r="I21" s="2">
        <v>2023</v>
      </c>
      <c r="J21" s="2">
        <v>10408</v>
      </c>
      <c r="K21" s="2" t="s">
        <v>22</v>
      </c>
      <c r="L21" s="2" t="s">
        <v>29</v>
      </c>
      <c r="M21" s="2" t="s">
        <v>24</v>
      </c>
      <c r="N21" s="2">
        <v>60</v>
      </c>
      <c r="O21" s="2">
        <v>46</v>
      </c>
      <c r="P21" s="2">
        <v>8475</v>
      </c>
      <c r="Q21" s="2">
        <v>423.75</v>
      </c>
      <c r="R21" s="21">
        <f t="shared" ca="1" si="0"/>
        <v>27418</v>
      </c>
    </row>
    <row r="22" spans="1:18">
      <c r="A22" s="2">
        <v>139</v>
      </c>
      <c r="B22" s="2" t="s">
        <v>18</v>
      </c>
      <c r="C22" s="2" t="s">
        <v>39</v>
      </c>
      <c r="D22" s="2" t="s">
        <v>40</v>
      </c>
      <c r="E22" s="2">
        <v>1</v>
      </c>
      <c r="F22" s="2">
        <v>612</v>
      </c>
      <c r="G22" s="2">
        <v>5</v>
      </c>
      <c r="H22" s="2" t="s">
        <v>35</v>
      </c>
      <c r="I22" s="2">
        <v>2023</v>
      </c>
      <c r="J22" s="2">
        <v>12674</v>
      </c>
      <c r="K22" s="2" t="s">
        <v>22</v>
      </c>
      <c r="L22" s="2" t="s">
        <v>29</v>
      </c>
      <c r="M22" s="2" t="s">
        <v>30</v>
      </c>
      <c r="N22" s="2">
        <v>48</v>
      </c>
      <c r="O22" s="2">
        <v>45</v>
      </c>
      <c r="P22" s="2">
        <v>612</v>
      </c>
      <c r="Q22" s="2">
        <v>30.6</v>
      </c>
      <c r="R22" s="21">
        <f t="shared" ca="1" si="0"/>
        <v>30438</v>
      </c>
    </row>
    <row r="23" spans="1:18">
      <c r="A23" s="2">
        <v>9</v>
      </c>
      <c r="B23" s="2" t="s">
        <v>18</v>
      </c>
      <c r="C23" s="2" t="s">
        <v>26</v>
      </c>
      <c r="D23" s="2" t="s">
        <v>27</v>
      </c>
      <c r="E23" s="2">
        <v>13</v>
      </c>
      <c r="F23" s="2">
        <v>870</v>
      </c>
      <c r="G23" s="2">
        <v>10</v>
      </c>
      <c r="H23" s="2" t="s">
        <v>35</v>
      </c>
      <c r="I23" s="2">
        <v>2023</v>
      </c>
      <c r="J23" s="2">
        <v>13705</v>
      </c>
      <c r="K23" s="2" t="s">
        <v>22</v>
      </c>
      <c r="L23" s="2" t="s">
        <v>29</v>
      </c>
      <c r="M23" s="2" t="s">
        <v>37</v>
      </c>
      <c r="N23" s="2">
        <v>30</v>
      </c>
      <c r="O23" s="2">
        <v>44</v>
      </c>
      <c r="P23" s="2">
        <v>11310</v>
      </c>
      <c r="Q23" s="2">
        <v>1131</v>
      </c>
      <c r="R23" s="21">
        <f t="shared" ca="1" si="0"/>
        <v>75954</v>
      </c>
    </row>
    <row r="24" spans="1:18">
      <c r="A24" s="2">
        <v>30</v>
      </c>
      <c r="B24" s="2" t="s">
        <v>18</v>
      </c>
      <c r="C24" s="2" t="s">
        <v>19</v>
      </c>
      <c r="D24" s="2" t="s">
        <v>42</v>
      </c>
      <c r="E24" s="2">
        <v>10</v>
      </c>
      <c r="F24" s="2">
        <v>587</v>
      </c>
      <c r="G24" s="2">
        <v>5</v>
      </c>
      <c r="H24" s="2" t="s">
        <v>21</v>
      </c>
      <c r="I24" s="2">
        <v>2023</v>
      </c>
      <c r="J24" s="2">
        <v>10619</v>
      </c>
      <c r="K24" s="2" t="s">
        <v>22</v>
      </c>
      <c r="L24" s="2" t="s">
        <v>33</v>
      </c>
      <c r="M24" s="2" t="s">
        <v>37</v>
      </c>
      <c r="N24" s="2">
        <v>88</v>
      </c>
      <c r="O24" s="2">
        <v>44</v>
      </c>
      <c r="P24" s="2">
        <v>5870</v>
      </c>
      <c r="Q24" s="2">
        <v>293.5</v>
      </c>
      <c r="R24" s="21">
        <f t="shared" ca="1" si="0"/>
        <v>91922</v>
      </c>
    </row>
    <row r="25" spans="1:18">
      <c r="A25" s="2">
        <v>105</v>
      </c>
      <c r="B25" s="2" t="s">
        <v>38</v>
      </c>
      <c r="C25" s="2" t="s">
        <v>31</v>
      </c>
      <c r="D25" s="2" t="s">
        <v>40</v>
      </c>
      <c r="E25" s="2">
        <v>16</v>
      </c>
      <c r="F25" s="2">
        <v>851</v>
      </c>
      <c r="G25" s="2">
        <v>0</v>
      </c>
      <c r="H25" s="2" t="s">
        <v>32</v>
      </c>
      <c r="I25" s="2">
        <v>2025</v>
      </c>
      <c r="J25" s="2">
        <v>6386</v>
      </c>
      <c r="K25" s="2" t="s">
        <v>22</v>
      </c>
      <c r="L25" s="2" t="s">
        <v>29</v>
      </c>
      <c r="M25" s="2" t="s">
        <v>24</v>
      </c>
      <c r="N25" s="2">
        <v>46</v>
      </c>
      <c r="O25" s="2">
        <v>44</v>
      </c>
      <c r="P25" s="2">
        <v>13616</v>
      </c>
      <c r="Q25" s="2">
        <v>0</v>
      </c>
      <c r="R25" s="21">
        <f t="shared" ca="1" si="0"/>
        <v>26325</v>
      </c>
    </row>
    <row r="26" spans="1:18">
      <c r="A26" s="2">
        <v>2</v>
      </c>
      <c r="B26" s="2" t="s">
        <v>25</v>
      </c>
      <c r="C26" s="2" t="s">
        <v>26</v>
      </c>
      <c r="D26" s="2" t="s">
        <v>27</v>
      </c>
      <c r="E26" s="2">
        <v>17</v>
      </c>
      <c r="F26" s="2">
        <v>922</v>
      </c>
      <c r="G26" s="2">
        <v>10</v>
      </c>
      <c r="H26" s="2" t="s">
        <v>28</v>
      </c>
      <c r="I26" s="2">
        <v>2023</v>
      </c>
      <c r="J26" s="2">
        <v>9242</v>
      </c>
      <c r="K26" s="2" t="s">
        <v>22</v>
      </c>
      <c r="L26" s="2" t="s">
        <v>29</v>
      </c>
      <c r="M26" s="2" t="s">
        <v>30</v>
      </c>
      <c r="N26" s="2">
        <v>97</v>
      </c>
      <c r="O26" s="2">
        <v>43</v>
      </c>
      <c r="P26" s="2">
        <v>15674</v>
      </c>
      <c r="Q26" s="2">
        <v>1567.4</v>
      </c>
      <c r="R26" s="21">
        <f t="shared" ca="1" si="0"/>
        <v>12392</v>
      </c>
    </row>
    <row r="27" spans="1:18">
      <c r="A27" s="2">
        <v>62</v>
      </c>
      <c r="B27" s="2" t="s">
        <v>25</v>
      </c>
      <c r="C27" s="2" t="s">
        <v>26</v>
      </c>
      <c r="D27" s="2" t="s">
        <v>20</v>
      </c>
      <c r="E27" s="2">
        <v>7</v>
      </c>
      <c r="F27" s="2">
        <v>202</v>
      </c>
      <c r="G27" s="2">
        <v>0</v>
      </c>
      <c r="H27" s="2" t="s">
        <v>28</v>
      </c>
      <c r="I27" s="2">
        <v>2023</v>
      </c>
      <c r="J27" s="2">
        <v>15849</v>
      </c>
      <c r="K27" s="2" t="s">
        <v>22</v>
      </c>
      <c r="L27" s="2" t="s">
        <v>33</v>
      </c>
      <c r="M27" s="2" t="s">
        <v>24</v>
      </c>
      <c r="N27" s="2">
        <v>50</v>
      </c>
      <c r="O27" s="2">
        <v>43</v>
      </c>
      <c r="P27" s="2">
        <v>1414</v>
      </c>
      <c r="Q27" s="2">
        <v>0</v>
      </c>
      <c r="R27" s="21">
        <f t="shared" ca="1" si="0"/>
        <v>43108</v>
      </c>
    </row>
    <row r="28" spans="1:18">
      <c r="A28" s="2">
        <v>67</v>
      </c>
      <c r="B28" s="2" t="s">
        <v>18</v>
      </c>
      <c r="C28" s="2" t="s">
        <v>19</v>
      </c>
      <c r="D28" s="2" t="s">
        <v>27</v>
      </c>
      <c r="E28" s="2">
        <v>19</v>
      </c>
      <c r="F28" s="2">
        <v>905</v>
      </c>
      <c r="G28" s="2">
        <v>15</v>
      </c>
      <c r="H28" s="2" t="s">
        <v>32</v>
      </c>
      <c r="I28" s="2">
        <v>2024</v>
      </c>
      <c r="J28" s="2">
        <v>15367</v>
      </c>
      <c r="K28" s="2" t="s">
        <v>36</v>
      </c>
      <c r="L28" s="2" t="s">
        <v>23</v>
      </c>
      <c r="M28" s="2" t="s">
        <v>30</v>
      </c>
      <c r="N28" s="2">
        <v>71</v>
      </c>
      <c r="O28" s="2">
        <v>43</v>
      </c>
      <c r="P28" s="2">
        <v>17195</v>
      </c>
      <c r="Q28" s="2">
        <v>2579.25</v>
      </c>
      <c r="R28" s="21">
        <f t="shared" ca="1" si="0"/>
        <v>79775</v>
      </c>
    </row>
    <row r="29" spans="1:18">
      <c r="A29" s="2">
        <v>101</v>
      </c>
      <c r="B29" s="2" t="s">
        <v>25</v>
      </c>
      <c r="C29" s="2" t="s">
        <v>39</v>
      </c>
      <c r="D29" s="2" t="s">
        <v>20</v>
      </c>
      <c r="E29" s="2">
        <v>14</v>
      </c>
      <c r="F29" s="2">
        <v>304</v>
      </c>
      <c r="G29" s="2">
        <v>0</v>
      </c>
      <c r="H29" s="2" t="s">
        <v>32</v>
      </c>
      <c r="I29" s="2">
        <v>2025</v>
      </c>
      <c r="J29" s="2">
        <v>18887</v>
      </c>
      <c r="K29" s="2" t="s">
        <v>22</v>
      </c>
      <c r="L29" s="2" t="s">
        <v>33</v>
      </c>
      <c r="M29" s="2" t="s">
        <v>24</v>
      </c>
      <c r="N29" s="2">
        <v>79</v>
      </c>
      <c r="O29" s="2">
        <v>43</v>
      </c>
      <c r="P29" s="2">
        <v>4256</v>
      </c>
      <c r="Q29" s="2">
        <v>0</v>
      </c>
      <c r="R29" s="21">
        <f t="shared" ca="1" si="0"/>
        <v>67634</v>
      </c>
    </row>
    <row r="30" spans="1:18">
      <c r="A30" s="2">
        <v>49</v>
      </c>
      <c r="B30" s="2" t="s">
        <v>25</v>
      </c>
      <c r="C30" s="2" t="s">
        <v>19</v>
      </c>
      <c r="D30" s="2" t="s">
        <v>42</v>
      </c>
      <c r="E30" s="2">
        <v>10</v>
      </c>
      <c r="F30" s="2">
        <v>833</v>
      </c>
      <c r="G30" s="2">
        <v>5</v>
      </c>
      <c r="H30" s="2" t="s">
        <v>28</v>
      </c>
      <c r="I30" s="2">
        <v>2023</v>
      </c>
      <c r="J30" s="2">
        <v>9033</v>
      </c>
      <c r="K30" s="2" t="s">
        <v>22</v>
      </c>
      <c r="L30" s="2" t="s">
        <v>29</v>
      </c>
      <c r="M30" s="2" t="s">
        <v>30</v>
      </c>
      <c r="N30" s="2">
        <v>99</v>
      </c>
      <c r="O30" s="2">
        <v>42</v>
      </c>
      <c r="P30" s="2">
        <v>8330</v>
      </c>
      <c r="Q30" s="2">
        <v>416.5</v>
      </c>
      <c r="R30" s="21">
        <f t="shared" ca="1" si="0"/>
        <v>27831</v>
      </c>
    </row>
    <row r="31" spans="1:18">
      <c r="A31" s="2">
        <v>54</v>
      </c>
      <c r="B31" s="2" t="s">
        <v>38</v>
      </c>
      <c r="C31" s="2" t="s">
        <v>26</v>
      </c>
      <c r="D31" s="2" t="s">
        <v>40</v>
      </c>
      <c r="E31" s="2">
        <v>5</v>
      </c>
      <c r="F31" s="2">
        <v>866</v>
      </c>
      <c r="G31" s="2">
        <v>15</v>
      </c>
      <c r="H31" s="2" t="s">
        <v>28</v>
      </c>
      <c r="I31" s="2">
        <v>2023</v>
      </c>
      <c r="J31" s="2">
        <v>10877</v>
      </c>
      <c r="K31" s="2" t="s">
        <v>22</v>
      </c>
      <c r="L31" s="2" t="s">
        <v>23</v>
      </c>
      <c r="M31" s="2" t="s">
        <v>37</v>
      </c>
      <c r="N31" s="2">
        <v>84</v>
      </c>
      <c r="O31" s="2">
        <v>42</v>
      </c>
      <c r="P31" s="2">
        <v>4330</v>
      </c>
      <c r="Q31" s="2">
        <v>649.5</v>
      </c>
      <c r="R31" s="21">
        <f t="shared" ca="1" si="0"/>
        <v>56498</v>
      </c>
    </row>
    <row r="32" spans="1:18">
      <c r="A32" s="2">
        <v>90</v>
      </c>
      <c r="B32" s="2" t="s">
        <v>18</v>
      </c>
      <c r="C32" s="2" t="s">
        <v>39</v>
      </c>
      <c r="D32" s="2" t="s">
        <v>20</v>
      </c>
      <c r="E32" s="2">
        <v>15</v>
      </c>
      <c r="F32" s="2">
        <v>283</v>
      </c>
      <c r="G32" s="2">
        <v>5</v>
      </c>
      <c r="H32" s="2" t="s">
        <v>35</v>
      </c>
      <c r="I32" s="2">
        <v>2024</v>
      </c>
      <c r="J32" s="2">
        <v>11136</v>
      </c>
      <c r="K32" s="2" t="s">
        <v>22</v>
      </c>
      <c r="L32" s="2" t="s">
        <v>29</v>
      </c>
      <c r="M32" s="2" t="s">
        <v>37</v>
      </c>
      <c r="N32" s="2">
        <v>54</v>
      </c>
      <c r="O32" s="2">
        <v>42</v>
      </c>
      <c r="P32" s="2">
        <v>4245</v>
      </c>
      <c r="Q32" s="2">
        <v>212.25</v>
      </c>
      <c r="R32" s="21">
        <f t="shared" ca="1" si="0"/>
        <v>25433</v>
      </c>
    </row>
    <row r="33" spans="1:18">
      <c r="A33" s="2">
        <v>98</v>
      </c>
      <c r="B33" s="2" t="s">
        <v>18</v>
      </c>
      <c r="C33" s="2" t="s">
        <v>26</v>
      </c>
      <c r="D33" s="2" t="s">
        <v>40</v>
      </c>
      <c r="E33" s="2">
        <v>15</v>
      </c>
      <c r="F33" s="2">
        <v>873</v>
      </c>
      <c r="G33" s="2">
        <v>10</v>
      </c>
      <c r="H33" s="2" t="s">
        <v>35</v>
      </c>
      <c r="I33" s="2">
        <v>2024</v>
      </c>
      <c r="J33" s="2">
        <v>17989</v>
      </c>
      <c r="K33" s="2" t="s">
        <v>22</v>
      </c>
      <c r="L33" s="2" t="s">
        <v>23</v>
      </c>
      <c r="M33" s="2" t="s">
        <v>24</v>
      </c>
      <c r="N33" s="2">
        <v>60</v>
      </c>
      <c r="O33" s="2">
        <v>42</v>
      </c>
      <c r="P33" s="2">
        <v>13095</v>
      </c>
      <c r="Q33" s="2">
        <v>1309.5</v>
      </c>
      <c r="R33" s="21">
        <f t="shared" ca="1" si="0"/>
        <v>33267</v>
      </c>
    </row>
    <row r="34" spans="1:18">
      <c r="A34" s="2">
        <v>124</v>
      </c>
      <c r="B34" s="2" t="s">
        <v>38</v>
      </c>
      <c r="C34" s="2" t="s">
        <v>26</v>
      </c>
      <c r="D34" s="2" t="s">
        <v>20</v>
      </c>
      <c r="E34" s="2">
        <v>16</v>
      </c>
      <c r="F34" s="2">
        <v>192</v>
      </c>
      <c r="G34" s="2">
        <v>10</v>
      </c>
      <c r="H34" s="2" t="s">
        <v>32</v>
      </c>
      <c r="I34" s="2">
        <v>2025</v>
      </c>
      <c r="J34" s="2">
        <v>17385</v>
      </c>
      <c r="K34" s="2" t="s">
        <v>36</v>
      </c>
      <c r="L34" s="2" t="s">
        <v>29</v>
      </c>
      <c r="M34" s="2" t="s">
        <v>24</v>
      </c>
      <c r="N34" s="2">
        <v>29</v>
      </c>
      <c r="O34" s="2">
        <v>42</v>
      </c>
      <c r="P34" s="2">
        <v>3072</v>
      </c>
      <c r="Q34" s="2">
        <v>307.2</v>
      </c>
      <c r="R34" s="21">
        <f t="shared" ca="1" si="0"/>
        <v>65393</v>
      </c>
    </row>
    <row r="35" spans="1:18">
      <c r="A35" s="2">
        <v>1</v>
      </c>
      <c r="B35" s="2" t="s">
        <v>18</v>
      </c>
      <c r="C35" s="2" t="s">
        <v>19</v>
      </c>
      <c r="D35" s="2" t="s">
        <v>20</v>
      </c>
      <c r="E35" s="2">
        <v>12</v>
      </c>
      <c r="F35" s="2">
        <v>504</v>
      </c>
      <c r="G35" s="2">
        <v>0</v>
      </c>
      <c r="H35" s="2" t="s">
        <v>21</v>
      </c>
      <c r="I35" s="2">
        <v>2024</v>
      </c>
      <c r="J35" s="2">
        <v>16348</v>
      </c>
      <c r="K35" s="2" t="s">
        <v>22</v>
      </c>
      <c r="L35" s="2" t="s">
        <v>23</v>
      </c>
      <c r="M35" s="2" t="s">
        <v>24</v>
      </c>
      <c r="N35" s="2">
        <v>11</v>
      </c>
      <c r="O35" s="2">
        <v>41</v>
      </c>
      <c r="P35" s="2">
        <v>6048</v>
      </c>
      <c r="Q35" s="2">
        <v>0</v>
      </c>
      <c r="R35" s="21">
        <f t="shared" ca="1" si="0"/>
        <v>98352</v>
      </c>
    </row>
    <row r="36" spans="1:18">
      <c r="A36" s="2">
        <v>86</v>
      </c>
      <c r="B36" s="2" t="s">
        <v>38</v>
      </c>
      <c r="C36" s="2" t="s">
        <v>19</v>
      </c>
      <c r="D36" s="2" t="s">
        <v>20</v>
      </c>
      <c r="E36" s="2">
        <v>6</v>
      </c>
      <c r="F36" s="2">
        <v>232</v>
      </c>
      <c r="G36" s="2">
        <v>15</v>
      </c>
      <c r="H36" s="2" t="s">
        <v>32</v>
      </c>
      <c r="I36" s="2">
        <v>2024</v>
      </c>
      <c r="J36" s="2">
        <v>9263</v>
      </c>
      <c r="K36" s="2" t="s">
        <v>22</v>
      </c>
      <c r="L36" s="2" t="s">
        <v>23</v>
      </c>
      <c r="M36" s="2" t="s">
        <v>24</v>
      </c>
      <c r="N36" s="2">
        <v>96</v>
      </c>
      <c r="O36" s="2">
        <v>41</v>
      </c>
      <c r="P36" s="2">
        <v>1392</v>
      </c>
      <c r="Q36" s="2">
        <v>208.8</v>
      </c>
      <c r="R36" s="21">
        <f t="shared" ca="1" si="0"/>
        <v>80876</v>
      </c>
    </row>
    <row r="37" spans="1:18">
      <c r="A37" s="2">
        <v>108</v>
      </c>
      <c r="B37" s="2" t="s">
        <v>43</v>
      </c>
      <c r="C37" s="2" t="s">
        <v>26</v>
      </c>
      <c r="D37" s="2" t="s">
        <v>27</v>
      </c>
      <c r="E37" s="2">
        <v>10</v>
      </c>
      <c r="F37" s="2">
        <v>860</v>
      </c>
      <c r="G37" s="2">
        <v>0</v>
      </c>
      <c r="H37" s="2" t="s">
        <v>35</v>
      </c>
      <c r="I37" s="2">
        <v>2024</v>
      </c>
      <c r="J37" s="2">
        <v>9788</v>
      </c>
      <c r="K37" s="2" t="s">
        <v>22</v>
      </c>
      <c r="L37" s="2" t="s">
        <v>33</v>
      </c>
      <c r="M37" s="2" t="s">
        <v>37</v>
      </c>
      <c r="N37" s="2">
        <v>12</v>
      </c>
      <c r="O37" s="2">
        <v>41</v>
      </c>
      <c r="P37" s="2">
        <v>8600</v>
      </c>
      <c r="Q37" s="2">
        <v>0</v>
      </c>
      <c r="R37" s="21">
        <f t="shared" ca="1" si="0"/>
        <v>41786</v>
      </c>
    </row>
    <row r="38" spans="1:18">
      <c r="A38" s="2">
        <v>10</v>
      </c>
      <c r="B38" s="2" t="s">
        <v>38</v>
      </c>
      <c r="C38" s="2" t="s">
        <v>26</v>
      </c>
      <c r="D38" s="2" t="s">
        <v>40</v>
      </c>
      <c r="E38" s="2">
        <v>19</v>
      </c>
      <c r="F38" s="2">
        <v>536</v>
      </c>
      <c r="G38" s="2">
        <v>15</v>
      </c>
      <c r="H38" s="2" t="s">
        <v>41</v>
      </c>
      <c r="I38" s="2">
        <v>2024</v>
      </c>
      <c r="J38" s="2">
        <v>15112</v>
      </c>
      <c r="K38" s="2" t="s">
        <v>36</v>
      </c>
      <c r="L38" s="2" t="s">
        <v>33</v>
      </c>
      <c r="M38" s="2" t="s">
        <v>24</v>
      </c>
      <c r="N38" s="2">
        <v>27</v>
      </c>
      <c r="O38" s="2">
        <v>40</v>
      </c>
      <c r="P38" s="2">
        <v>10184</v>
      </c>
      <c r="Q38" s="2">
        <v>1527.6</v>
      </c>
      <c r="R38" s="21">
        <f t="shared" ca="1" si="0"/>
        <v>89982</v>
      </c>
    </row>
    <row r="39" spans="1:18">
      <c r="A39" s="2">
        <v>44</v>
      </c>
      <c r="B39" s="2" t="s">
        <v>25</v>
      </c>
      <c r="C39" s="2" t="s">
        <v>39</v>
      </c>
      <c r="D39" s="2" t="s">
        <v>42</v>
      </c>
      <c r="E39" s="2">
        <v>6</v>
      </c>
      <c r="F39" s="2">
        <v>405</v>
      </c>
      <c r="G39" s="2">
        <v>10</v>
      </c>
      <c r="H39" s="2" t="s">
        <v>32</v>
      </c>
      <c r="I39" s="2">
        <v>2025</v>
      </c>
      <c r="J39" s="2">
        <v>8186</v>
      </c>
      <c r="K39" s="2" t="s">
        <v>36</v>
      </c>
      <c r="L39" s="2" t="s">
        <v>23</v>
      </c>
      <c r="M39" s="2" t="s">
        <v>30</v>
      </c>
      <c r="N39" s="2">
        <v>86</v>
      </c>
      <c r="O39" s="2">
        <v>40</v>
      </c>
      <c r="P39" s="2">
        <v>2430</v>
      </c>
      <c r="Q39" s="2">
        <v>243</v>
      </c>
      <c r="R39" s="21">
        <f t="shared" ca="1" si="0"/>
        <v>94051</v>
      </c>
    </row>
    <row r="40" spans="1:18">
      <c r="A40" s="2">
        <v>149</v>
      </c>
      <c r="B40" s="2" t="s">
        <v>38</v>
      </c>
      <c r="C40" s="2" t="s">
        <v>19</v>
      </c>
      <c r="D40" s="2" t="s">
        <v>27</v>
      </c>
      <c r="E40" s="2">
        <v>3</v>
      </c>
      <c r="F40" s="2">
        <v>172</v>
      </c>
      <c r="G40" s="2">
        <v>10</v>
      </c>
      <c r="H40" s="2" t="s">
        <v>28</v>
      </c>
      <c r="I40" s="2">
        <v>2023</v>
      </c>
      <c r="J40" s="2">
        <v>10136</v>
      </c>
      <c r="K40" s="2" t="s">
        <v>22</v>
      </c>
      <c r="L40" s="2" t="s">
        <v>29</v>
      </c>
      <c r="M40" s="2" t="s">
        <v>30</v>
      </c>
      <c r="N40" s="2">
        <v>17</v>
      </c>
      <c r="O40" s="2">
        <v>40</v>
      </c>
      <c r="P40" s="2">
        <v>516</v>
      </c>
      <c r="Q40" s="2">
        <v>51.6</v>
      </c>
      <c r="R40" s="21">
        <f t="shared" ca="1" si="0"/>
        <v>61673</v>
      </c>
    </row>
    <row r="41" spans="1:18">
      <c r="A41" s="2">
        <v>27</v>
      </c>
      <c r="B41" s="2" t="s">
        <v>18</v>
      </c>
      <c r="C41" s="2" t="s">
        <v>19</v>
      </c>
      <c r="D41" s="2" t="s">
        <v>40</v>
      </c>
      <c r="E41" s="2">
        <v>16</v>
      </c>
      <c r="F41" s="2">
        <v>545</v>
      </c>
      <c r="G41" s="2">
        <v>5</v>
      </c>
      <c r="H41" s="2" t="s">
        <v>35</v>
      </c>
      <c r="I41" s="2">
        <v>2023</v>
      </c>
      <c r="J41" s="2">
        <v>18364</v>
      </c>
      <c r="K41" s="2" t="s">
        <v>36</v>
      </c>
      <c r="L41" s="2" t="s">
        <v>29</v>
      </c>
      <c r="M41" s="2" t="s">
        <v>37</v>
      </c>
      <c r="N41" s="2">
        <v>85</v>
      </c>
      <c r="O41" s="2">
        <v>39</v>
      </c>
      <c r="P41" s="2">
        <v>8720</v>
      </c>
      <c r="Q41" s="2">
        <v>436</v>
      </c>
      <c r="R41" s="21">
        <f t="shared" ca="1" si="0"/>
        <v>50120</v>
      </c>
    </row>
    <row r="42" spans="1:18">
      <c r="A42" s="2">
        <v>133</v>
      </c>
      <c r="B42" s="2" t="s">
        <v>38</v>
      </c>
      <c r="C42" s="2" t="s">
        <v>19</v>
      </c>
      <c r="D42" s="2" t="s">
        <v>20</v>
      </c>
      <c r="E42" s="2">
        <v>2</v>
      </c>
      <c r="F42" s="2">
        <v>703</v>
      </c>
      <c r="G42" s="2">
        <v>5</v>
      </c>
      <c r="H42" s="2" t="s">
        <v>21</v>
      </c>
      <c r="I42" s="2">
        <v>2025</v>
      </c>
      <c r="J42" s="2">
        <v>14977</v>
      </c>
      <c r="K42" s="2" t="s">
        <v>22</v>
      </c>
      <c r="L42" s="2" t="s">
        <v>33</v>
      </c>
      <c r="M42" s="2" t="s">
        <v>24</v>
      </c>
      <c r="N42" s="2">
        <v>45</v>
      </c>
      <c r="O42" s="2">
        <v>39</v>
      </c>
      <c r="P42" s="2">
        <v>1406</v>
      </c>
      <c r="Q42" s="2">
        <v>70.3</v>
      </c>
      <c r="R42" s="21">
        <f t="shared" ca="1" si="0"/>
        <v>24373</v>
      </c>
    </row>
    <row r="43" spans="1:18">
      <c r="A43" s="2">
        <v>13</v>
      </c>
      <c r="B43" s="2" t="s">
        <v>43</v>
      </c>
      <c r="C43" s="2" t="s">
        <v>26</v>
      </c>
      <c r="D43" s="2" t="s">
        <v>20</v>
      </c>
      <c r="E43" s="2">
        <v>12</v>
      </c>
      <c r="F43" s="2">
        <v>776</v>
      </c>
      <c r="G43" s="2">
        <v>5</v>
      </c>
      <c r="H43" s="2" t="s">
        <v>35</v>
      </c>
      <c r="I43" s="2">
        <v>2025</v>
      </c>
      <c r="J43" s="2">
        <v>8594</v>
      </c>
      <c r="K43" s="2" t="s">
        <v>36</v>
      </c>
      <c r="L43" s="2" t="s">
        <v>29</v>
      </c>
      <c r="M43" s="2" t="s">
        <v>37</v>
      </c>
      <c r="N43" s="2">
        <v>47</v>
      </c>
      <c r="O43" s="2">
        <v>38</v>
      </c>
      <c r="P43" s="2">
        <v>9312</v>
      </c>
      <c r="Q43" s="2">
        <v>465.6</v>
      </c>
      <c r="R43" s="21">
        <f t="shared" ca="1" si="0"/>
        <v>40164</v>
      </c>
    </row>
    <row r="44" spans="1:18">
      <c r="A44" s="2">
        <v>17</v>
      </c>
      <c r="B44" s="2" t="s">
        <v>34</v>
      </c>
      <c r="C44" s="2" t="s">
        <v>19</v>
      </c>
      <c r="D44" s="2" t="s">
        <v>42</v>
      </c>
      <c r="E44" s="2">
        <v>9</v>
      </c>
      <c r="F44" s="2">
        <v>244</v>
      </c>
      <c r="G44" s="2">
        <v>0</v>
      </c>
      <c r="H44" s="2" t="s">
        <v>28</v>
      </c>
      <c r="I44" s="2">
        <v>2024</v>
      </c>
      <c r="J44" s="2">
        <v>9566</v>
      </c>
      <c r="K44" s="2" t="s">
        <v>36</v>
      </c>
      <c r="L44" s="2" t="s">
        <v>33</v>
      </c>
      <c r="M44" s="2" t="s">
        <v>24</v>
      </c>
      <c r="N44" s="2">
        <v>98</v>
      </c>
      <c r="O44" s="2">
        <v>38</v>
      </c>
      <c r="P44" s="2">
        <v>2196</v>
      </c>
      <c r="Q44" s="2">
        <v>0</v>
      </c>
      <c r="R44" s="21">
        <f t="shared" ca="1" si="0"/>
        <v>51437</v>
      </c>
    </row>
    <row r="45" spans="1:18">
      <c r="A45" s="2">
        <v>95</v>
      </c>
      <c r="B45" s="2" t="s">
        <v>18</v>
      </c>
      <c r="C45" s="2" t="s">
        <v>31</v>
      </c>
      <c r="D45" s="2" t="s">
        <v>20</v>
      </c>
      <c r="E45" s="2">
        <v>3</v>
      </c>
      <c r="F45" s="2">
        <v>951</v>
      </c>
      <c r="G45" s="2">
        <v>5</v>
      </c>
      <c r="H45" s="2" t="s">
        <v>32</v>
      </c>
      <c r="I45" s="2">
        <v>2024</v>
      </c>
      <c r="J45" s="2">
        <v>7969</v>
      </c>
      <c r="K45" s="2" t="s">
        <v>22</v>
      </c>
      <c r="L45" s="2" t="s">
        <v>23</v>
      </c>
      <c r="M45" s="2" t="s">
        <v>37</v>
      </c>
      <c r="N45" s="2">
        <v>62</v>
      </c>
      <c r="O45" s="2">
        <v>38</v>
      </c>
      <c r="P45" s="2">
        <v>2853</v>
      </c>
      <c r="Q45" s="2">
        <v>142.65</v>
      </c>
      <c r="R45" s="21">
        <f t="shared" ca="1" si="0"/>
        <v>50440</v>
      </c>
    </row>
    <row r="46" spans="1:18">
      <c r="A46" s="2">
        <v>8</v>
      </c>
      <c r="B46" s="2" t="s">
        <v>25</v>
      </c>
      <c r="C46" s="2" t="s">
        <v>31</v>
      </c>
      <c r="D46" s="2" t="s">
        <v>40</v>
      </c>
      <c r="E46" s="2">
        <v>16</v>
      </c>
      <c r="F46" s="2">
        <v>969</v>
      </c>
      <c r="G46" s="2">
        <v>10</v>
      </c>
      <c r="H46" s="2" t="s">
        <v>28</v>
      </c>
      <c r="I46" s="2">
        <v>2023</v>
      </c>
      <c r="J46" s="2">
        <v>9177</v>
      </c>
      <c r="K46" s="2" t="s">
        <v>22</v>
      </c>
      <c r="L46" s="2" t="s">
        <v>29</v>
      </c>
      <c r="M46" s="2" t="s">
        <v>30</v>
      </c>
      <c r="N46" s="2">
        <v>81</v>
      </c>
      <c r="O46" s="2">
        <v>37</v>
      </c>
      <c r="P46" s="2">
        <v>15504</v>
      </c>
      <c r="Q46" s="2">
        <v>1550.4</v>
      </c>
      <c r="R46" s="21">
        <f t="shared" ca="1" si="0"/>
        <v>83557</v>
      </c>
    </row>
    <row r="47" spans="1:18">
      <c r="A47" s="2">
        <v>102</v>
      </c>
      <c r="B47" s="2" t="s">
        <v>18</v>
      </c>
      <c r="C47" s="2" t="s">
        <v>39</v>
      </c>
      <c r="D47" s="2" t="s">
        <v>40</v>
      </c>
      <c r="E47" s="2">
        <v>15</v>
      </c>
      <c r="F47" s="2">
        <v>225</v>
      </c>
      <c r="G47" s="2">
        <v>5</v>
      </c>
      <c r="H47" s="2" t="s">
        <v>28</v>
      </c>
      <c r="I47" s="2">
        <v>2023</v>
      </c>
      <c r="J47" s="2">
        <v>9225</v>
      </c>
      <c r="K47" s="2" t="s">
        <v>22</v>
      </c>
      <c r="L47" s="2" t="s">
        <v>29</v>
      </c>
      <c r="M47" s="2" t="s">
        <v>37</v>
      </c>
      <c r="N47" s="2">
        <v>27</v>
      </c>
      <c r="O47" s="2">
        <v>37</v>
      </c>
      <c r="P47" s="2">
        <v>3375</v>
      </c>
      <c r="Q47" s="2">
        <v>168.75</v>
      </c>
      <c r="R47" s="21">
        <f t="shared" ca="1" si="0"/>
        <v>74357</v>
      </c>
    </row>
    <row r="48" spans="1:18">
      <c r="A48" s="2">
        <v>116</v>
      </c>
      <c r="B48" s="2" t="s">
        <v>38</v>
      </c>
      <c r="C48" s="2" t="s">
        <v>39</v>
      </c>
      <c r="D48" s="2" t="s">
        <v>20</v>
      </c>
      <c r="E48" s="2">
        <v>18</v>
      </c>
      <c r="F48" s="2">
        <v>459</v>
      </c>
      <c r="G48" s="2">
        <v>5</v>
      </c>
      <c r="H48" s="2" t="s">
        <v>28</v>
      </c>
      <c r="I48" s="2">
        <v>2025</v>
      </c>
      <c r="J48" s="2">
        <v>15250</v>
      </c>
      <c r="K48" s="2" t="s">
        <v>22</v>
      </c>
      <c r="L48" s="2" t="s">
        <v>29</v>
      </c>
      <c r="M48" s="2" t="s">
        <v>24</v>
      </c>
      <c r="N48" s="2">
        <v>16</v>
      </c>
      <c r="O48" s="2">
        <v>37</v>
      </c>
      <c r="P48" s="2">
        <v>8262</v>
      </c>
      <c r="Q48" s="2">
        <v>413.1</v>
      </c>
      <c r="R48" s="21">
        <f t="shared" ca="1" si="0"/>
        <v>15952</v>
      </c>
    </row>
    <row r="49" spans="1:18">
      <c r="A49" s="2">
        <v>6</v>
      </c>
      <c r="B49" s="2" t="s">
        <v>18</v>
      </c>
      <c r="C49" s="2" t="s">
        <v>26</v>
      </c>
      <c r="D49" s="2" t="s">
        <v>27</v>
      </c>
      <c r="E49" s="2">
        <v>17</v>
      </c>
      <c r="F49" s="2">
        <v>962</v>
      </c>
      <c r="G49" s="2">
        <v>15</v>
      </c>
      <c r="H49" s="2" t="s">
        <v>21</v>
      </c>
      <c r="I49" s="2">
        <v>2023</v>
      </c>
      <c r="J49" s="2">
        <v>18859</v>
      </c>
      <c r="K49" s="2" t="s">
        <v>22</v>
      </c>
      <c r="L49" s="2" t="s">
        <v>23</v>
      </c>
      <c r="M49" s="2" t="s">
        <v>37</v>
      </c>
      <c r="N49" s="2">
        <v>86</v>
      </c>
      <c r="O49" s="2">
        <v>36</v>
      </c>
      <c r="P49" s="2">
        <v>16354</v>
      </c>
      <c r="Q49" s="2">
        <v>2453.1</v>
      </c>
      <c r="R49" s="21">
        <f t="shared" ca="1" si="0"/>
        <v>45643</v>
      </c>
    </row>
    <row r="50" spans="1:18">
      <c r="A50" s="2">
        <v>24</v>
      </c>
      <c r="B50" s="2" t="s">
        <v>25</v>
      </c>
      <c r="C50" s="2" t="s">
        <v>39</v>
      </c>
      <c r="D50" s="2" t="s">
        <v>42</v>
      </c>
      <c r="E50" s="2">
        <v>3</v>
      </c>
      <c r="F50" s="2">
        <v>784</v>
      </c>
      <c r="G50" s="2">
        <v>15</v>
      </c>
      <c r="H50" s="2" t="s">
        <v>21</v>
      </c>
      <c r="I50" s="2">
        <v>2023</v>
      </c>
      <c r="J50" s="2">
        <v>6279</v>
      </c>
      <c r="K50" s="2" t="s">
        <v>22</v>
      </c>
      <c r="L50" s="2" t="s">
        <v>23</v>
      </c>
      <c r="M50" s="2" t="s">
        <v>24</v>
      </c>
      <c r="N50" s="2">
        <v>97</v>
      </c>
      <c r="O50" s="2">
        <v>36</v>
      </c>
      <c r="P50" s="2">
        <v>2352</v>
      </c>
      <c r="Q50" s="2">
        <v>352.8</v>
      </c>
      <c r="R50" s="21">
        <f t="shared" ca="1" si="0"/>
        <v>51789</v>
      </c>
    </row>
    <row r="51" spans="1:18">
      <c r="A51" s="2">
        <v>55</v>
      </c>
      <c r="B51" s="2" t="s">
        <v>25</v>
      </c>
      <c r="C51" s="2" t="s">
        <v>39</v>
      </c>
      <c r="D51" s="2" t="s">
        <v>42</v>
      </c>
      <c r="E51" s="2">
        <v>6</v>
      </c>
      <c r="F51" s="2">
        <v>402</v>
      </c>
      <c r="G51" s="2">
        <v>0</v>
      </c>
      <c r="H51" s="2" t="s">
        <v>41</v>
      </c>
      <c r="I51" s="2">
        <v>2023</v>
      </c>
      <c r="J51" s="2">
        <v>6301</v>
      </c>
      <c r="K51" s="2" t="s">
        <v>22</v>
      </c>
      <c r="L51" s="2" t="s">
        <v>33</v>
      </c>
      <c r="M51" s="2" t="s">
        <v>30</v>
      </c>
      <c r="N51" s="2">
        <v>70</v>
      </c>
      <c r="O51" s="2">
        <v>36</v>
      </c>
      <c r="P51" s="2">
        <v>2412</v>
      </c>
      <c r="Q51" s="2">
        <v>0</v>
      </c>
      <c r="R51" s="21">
        <f t="shared" ca="1" si="0"/>
        <v>37737</v>
      </c>
    </row>
    <row r="52" spans="1:18">
      <c r="A52" s="2">
        <v>57</v>
      </c>
      <c r="B52" s="2" t="s">
        <v>34</v>
      </c>
      <c r="C52" s="2" t="s">
        <v>31</v>
      </c>
      <c r="D52" s="2" t="s">
        <v>40</v>
      </c>
      <c r="E52" s="2">
        <v>8</v>
      </c>
      <c r="F52" s="2">
        <v>328</v>
      </c>
      <c r="G52" s="2">
        <v>0</v>
      </c>
      <c r="H52" s="2" t="s">
        <v>35</v>
      </c>
      <c r="I52" s="2">
        <v>2025</v>
      </c>
      <c r="J52" s="2">
        <v>7051</v>
      </c>
      <c r="K52" s="2" t="s">
        <v>22</v>
      </c>
      <c r="L52" s="2" t="s">
        <v>33</v>
      </c>
      <c r="M52" s="2" t="s">
        <v>30</v>
      </c>
      <c r="N52" s="2">
        <v>15</v>
      </c>
      <c r="O52" s="2">
        <v>36</v>
      </c>
      <c r="P52" s="2">
        <v>2624</v>
      </c>
      <c r="Q52" s="2">
        <v>0</v>
      </c>
      <c r="R52" s="21">
        <f t="shared" ca="1" si="0"/>
        <v>12733</v>
      </c>
    </row>
    <row r="53" spans="1:18">
      <c r="A53" s="2">
        <v>59</v>
      </c>
      <c r="B53" s="2" t="s">
        <v>34</v>
      </c>
      <c r="C53" s="2" t="s">
        <v>39</v>
      </c>
      <c r="D53" s="2" t="s">
        <v>27</v>
      </c>
      <c r="E53" s="2">
        <v>13</v>
      </c>
      <c r="F53" s="2">
        <v>677</v>
      </c>
      <c r="G53" s="2">
        <v>5</v>
      </c>
      <c r="H53" s="2" t="s">
        <v>32</v>
      </c>
      <c r="I53" s="2">
        <v>2024</v>
      </c>
      <c r="J53" s="2">
        <v>13633</v>
      </c>
      <c r="K53" s="2" t="s">
        <v>36</v>
      </c>
      <c r="L53" s="2" t="s">
        <v>29</v>
      </c>
      <c r="M53" s="2" t="s">
        <v>24</v>
      </c>
      <c r="N53" s="2">
        <v>15</v>
      </c>
      <c r="O53" s="2">
        <v>36</v>
      </c>
      <c r="P53" s="2">
        <v>8801</v>
      </c>
      <c r="Q53" s="2">
        <v>440.05</v>
      </c>
      <c r="R53" s="21">
        <f t="shared" ca="1" si="0"/>
        <v>65679</v>
      </c>
    </row>
    <row r="54" spans="1:18">
      <c r="A54" s="2">
        <v>73</v>
      </c>
      <c r="B54" s="2" t="s">
        <v>18</v>
      </c>
      <c r="C54" s="2" t="s">
        <v>19</v>
      </c>
      <c r="D54" s="2" t="s">
        <v>27</v>
      </c>
      <c r="E54" s="2">
        <v>3</v>
      </c>
      <c r="F54" s="2">
        <v>958</v>
      </c>
      <c r="G54" s="2">
        <v>15</v>
      </c>
      <c r="H54" s="2" t="s">
        <v>41</v>
      </c>
      <c r="I54" s="2">
        <v>2023</v>
      </c>
      <c r="J54" s="2">
        <v>12184</v>
      </c>
      <c r="K54" s="2" t="s">
        <v>22</v>
      </c>
      <c r="L54" s="2" t="s">
        <v>29</v>
      </c>
      <c r="M54" s="2" t="s">
        <v>37</v>
      </c>
      <c r="N54" s="2">
        <v>89</v>
      </c>
      <c r="O54" s="2">
        <v>36</v>
      </c>
      <c r="P54" s="2">
        <v>2874</v>
      </c>
      <c r="Q54" s="2">
        <v>431.1</v>
      </c>
      <c r="R54" s="21">
        <f t="shared" ca="1" si="0"/>
        <v>79682</v>
      </c>
    </row>
    <row r="55" spans="1:18">
      <c r="A55" s="2">
        <v>80</v>
      </c>
      <c r="B55" s="2" t="s">
        <v>34</v>
      </c>
      <c r="C55" s="2" t="s">
        <v>26</v>
      </c>
      <c r="D55" s="2" t="s">
        <v>27</v>
      </c>
      <c r="E55" s="2">
        <v>1</v>
      </c>
      <c r="F55" s="2">
        <v>434</v>
      </c>
      <c r="G55" s="2">
        <v>15</v>
      </c>
      <c r="H55" s="2" t="s">
        <v>28</v>
      </c>
      <c r="I55" s="2">
        <v>2024</v>
      </c>
      <c r="J55" s="2">
        <v>5341</v>
      </c>
      <c r="K55" s="2" t="s">
        <v>22</v>
      </c>
      <c r="L55" s="2" t="s">
        <v>29</v>
      </c>
      <c r="M55" s="2" t="s">
        <v>37</v>
      </c>
      <c r="N55" s="2">
        <v>50</v>
      </c>
      <c r="O55" s="2">
        <v>36</v>
      </c>
      <c r="P55" s="2">
        <v>434</v>
      </c>
      <c r="Q55" s="2">
        <v>65.099999999999994</v>
      </c>
      <c r="R55" s="21">
        <f t="shared" ca="1" si="0"/>
        <v>81093</v>
      </c>
    </row>
    <row r="56" spans="1:18">
      <c r="A56" s="2">
        <v>29</v>
      </c>
      <c r="B56" s="2" t="s">
        <v>25</v>
      </c>
      <c r="C56" s="2" t="s">
        <v>31</v>
      </c>
      <c r="D56" s="2" t="s">
        <v>42</v>
      </c>
      <c r="E56" s="2">
        <v>13</v>
      </c>
      <c r="F56" s="2">
        <v>980</v>
      </c>
      <c r="G56" s="2">
        <v>10</v>
      </c>
      <c r="H56" s="2" t="s">
        <v>32</v>
      </c>
      <c r="I56" s="2">
        <v>2024</v>
      </c>
      <c r="J56" s="2">
        <v>10986</v>
      </c>
      <c r="K56" s="2" t="s">
        <v>22</v>
      </c>
      <c r="L56" s="2" t="s">
        <v>23</v>
      </c>
      <c r="M56" s="2" t="s">
        <v>24</v>
      </c>
      <c r="N56" s="2">
        <v>41</v>
      </c>
      <c r="O56" s="2">
        <v>35</v>
      </c>
      <c r="P56" s="2">
        <v>12740</v>
      </c>
      <c r="Q56" s="2">
        <v>1274</v>
      </c>
      <c r="R56" s="21">
        <f t="shared" ca="1" si="0"/>
        <v>35081</v>
      </c>
    </row>
    <row r="57" spans="1:18">
      <c r="A57" s="2">
        <v>23</v>
      </c>
      <c r="B57" s="2" t="s">
        <v>43</v>
      </c>
      <c r="C57" s="2" t="s">
        <v>31</v>
      </c>
      <c r="D57" s="2" t="s">
        <v>20</v>
      </c>
      <c r="E57" s="2">
        <v>5</v>
      </c>
      <c r="F57" s="2">
        <v>150</v>
      </c>
      <c r="G57" s="2">
        <v>10</v>
      </c>
      <c r="H57" s="2" t="s">
        <v>21</v>
      </c>
      <c r="I57" s="2">
        <v>2023</v>
      </c>
      <c r="J57" s="2">
        <v>18221</v>
      </c>
      <c r="K57" s="2" t="s">
        <v>22</v>
      </c>
      <c r="L57" s="2" t="s">
        <v>33</v>
      </c>
      <c r="M57" s="2" t="s">
        <v>37</v>
      </c>
      <c r="N57" s="2">
        <v>60</v>
      </c>
      <c r="O57" s="2">
        <v>34</v>
      </c>
      <c r="P57" s="2">
        <v>750</v>
      </c>
      <c r="Q57" s="2">
        <v>75</v>
      </c>
      <c r="R57" s="21">
        <f t="shared" ca="1" si="0"/>
        <v>62229</v>
      </c>
    </row>
    <row r="58" spans="1:18">
      <c r="A58" s="2">
        <v>78</v>
      </c>
      <c r="B58" s="2" t="s">
        <v>43</v>
      </c>
      <c r="C58" s="2" t="s">
        <v>19</v>
      </c>
      <c r="D58" s="2" t="s">
        <v>42</v>
      </c>
      <c r="E58" s="2">
        <v>9</v>
      </c>
      <c r="F58" s="2">
        <v>265</v>
      </c>
      <c r="G58" s="2">
        <v>5</v>
      </c>
      <c r="H58" s="2" t="s">
        <v>21</v>
      </c>
      <c r="I58" s="2">
        <v>2025</v>
      </c>
      <c r="J58" s="2">
        <v>6622</v>
      </c>
      <c r="K58" s="2" t="s">
        <v>22</v>
      </c>
      <c r="L58" s="2" t="s">
        <v>33</v>
      </c>
      <c r="M58" s="2" t="s">
        <v>24</v>
      </c>
      <c r="N58" s="2">
        <v>35</v>
      </c>
      <c r="O58" s="2">
        <v>34</v>
      </c>
      <c r="P58" s="2">
        <v>2385</v>
      </c>
      <c r="Q58" s="2">
        <v>119.25</v>
      </c>
      <c r="R58" s="21">
        <f t="shared" ca="1" si="0"/>
        <v>70813</v>
      </c>
    </row>
    <row r="59" spans="1:18">
      <c r="A59" s="2">
        <v>91</v>
      </c>
      <c r="B59" s="2" t="s">
        <v>25</v>
      </c>
      <c r="C59" s="2" t="s">
        <v>19</v>
      </c>
      <c r="D59" s="2" t="s">
        <v>27</v>
      </c>
      <c r="E59" s="2">
        <v>16</v>
      </c>
      <c r="F59" s="2">
        <v>500</v>
      </c>
      <c r="G59" s="2">
        <v>0</v>
      </c>
      <c r="H59" s="2" t="s">
        <v>32</v>
      </c>
      <c r="I59" s="2">
        <v>2025</v>
      </c>
      <c r="J59" s="2">
        <v>13646</v>
      </c>
      <c r="K59" s="2" t="s">
        <v>22</v>
      </c>
      <c r="L59" s="2" t="s">
        <v>33</v>
      </c>
      <c r="M59" s="2" t="s">
        <v>30</v>
      </c>
      <c r="N59" s="2">
        <v>28</v>
      </c>
      <c r="O59" s="2">
        <v>33</v>
      </c>
      <c r="P59" s="2">
        <v>8000</v>
      </c>
      <c r="Q59" s="2">
        <v>0</v>
      </c>
      <c r="R59" s="21">
        <f t="shared" ca="1" si="0"/>
        <v>55585</v>
      </c>
    </row>
    <row r="60" spans="1:18">
      <c r="A60" s="2">
        <v>121</v>
      </c>
      <c r="B60" s="2" t="s">
        <v>34</v>
      </c>
      <c r="C60" s="2" t="s">
        <v>19</v>
      </c>
      <c r="D60" s="2" t="s">
        <v>42</v>
      </c>
      <c r="E60" s="2">
        <v>9</v>
      </c>
      <c r="F60" s="2">
        <v>963</v>
      </c>
      <c r="G60" s="2">
        <v>10</v>
      </c>
      <c r="H60" s="2" t="s">
        <v>21</v>
      </c>
      <c r="I60" s="2">
        <v>2025</v>
      </c>
      <c r="J60" s="2">
        <v>16046</v>
      </c>
      <c r="K60" s="2" t="s">
        <v>36</v>
      </c>
      <c r="L60" s="2" t="s">
        <v>33</v>
      </c>
      <c r="M60" s="2" t="s">
        <v>30</v>
      </c>
      <c r="N60" s="2">
        <v>67</v>
      </c>
      <c r="O60" s="2">
        <v>33</v>
      </c>
      <c r="P60" s="2">
        <v>8667</v>
      </c>
      <c r="Q60" s="2">
        <v>866.7</v>
      </c>
      <c r="R60" s="21">
        <f t="shared" ca="1" si="0"/>
        <v>80053</v>
      </c>
    </row>
    <row r="61" spans="1:18">
      <c r="A61" s="2">
        <v>82</v>
      </c>
      <c r="B61" s="2" t="s">
        <v>18</v>
      </c>
      <c r="C61" s="2" t="s">
        <v>31</v>
      </c>
      <c r="D61" s="2" t="s">
        <v>20</v>
      </c>
      <c r="E61" s="2">
        <v>13</v>
      </c>
      <c r="F61" s="2">
        <v>858</v>
      </c>
      <c r="G61" s="2">
        <v>5</v>
      </c>
      <c r="H61" s="2" t="s">
        <v>28</v>
      </c>
      <c r="I61" s="2">
        <v>2023</v>
      </c>
      <c r="J61" s="2">
        <v>7074</v>
      </c>
      <c r="K61" s="2" t="s">
        <v>22</v>
      </c>
      <c r="L61" s="2" t="s">
        <v>23</v>
      </c>
      <c r="M61" s="2" t="s">
        <v>24</v>
      </c>
      <c r="N61" s="2">
        <v>23</v>
      </c>
      <c r="O61" s="2">
        <v>32</v>
      </c>
      <c r="P61" s="2">
        <v>11154</v>
      </c>
      <c r="Q61" s="2">
        <v>557.70000000000005</v>
      </c>
      <c r="R61" s="21">
        <f t="shared" ca="1" si="0"/>
        <v>43766</v>
      </c>
    </row>
    <row r="62" spans="1:18">
      <c r="A62" s="2">
        <v>141</v>
      </c>
      <c r="B62" s="2" t="s">
        <v>34</v>
      </c>
      <c r="C62" s="2" t="s">
        <v>26</v>
      </c>
      <c r="D62" s="2" t="s">
        <v>27</v>
      </c>
      <c r="E62" s="2">
        <v>15</v>
      </c>
      <c r="F62" s="2">
        <v>332</v>
      </c>
      <c r="G62" s="2">
        <v>0</v>
      </c>
      <c r="H62" s="2" t="s">
        <v>35</v>
      </c>
      <c r="I62" s="2">
        <v>2023</v>
      </c>
      <c r="J62" s="2">
        <v>11122</v>
      </c>
      <c r="K62" s="2" t="s">
        <v>36</v>
      </c>
      <c r="L62" s="2" t="s">
        <v>29</v>
      </c>
      <c r="M62" s="2" t="s">
        <v>37</v>
      </c>
      <c r="N62" s="2">
        <v>67</v>
      </c>
      <c r="O62" s="2">
        <v>32</v>
      </c>
      <c r="P62" s="2">
        <v>4980</v>
      </c>
      <c r="Q62" s="2">
        <v>0</v>
      </c>
      <c r="R62" s="21">
        <f t="shared" ca="1" si="0"/>
        <v>31794</v>
      </c>
    </row>
    <row r="63" spans="1:18">
      <c r="A63" s="2">
        <v>115</v>
      </c>
      <c r="B63" s="2" t="s">
        <v>18</v>
      </c>
      <c r="C63" s="2" t="s">
        <v>39</v>
      </c>
      <c r="D63" s="2" t="s">
        <v>40</v>
      </c>
      <c r="E63" s="2">
        <v>8</v>
      </c>
      <c r="F63" s="2">
        <v>999</v>
      </c>
      <c r="G63" s="2">
        <v>10</v>
      </c>
      <c r="H63" s="2" t="s">
        <v>21</v>
      </c>
      <c r="I63" s="2">
        <v>2024</v>
      </c>
      <c r="J63" s="2">
        <v>10415</v>
      </c>
      <c r="K63" s="2" t="s">
        <v>22</v>
      </c>
      <c r="L63" s="2" t="s">
        <v>33</v>
      </c>
      <c r="M63" s="2" t="s">
        <v>37</v>
      </c>
      <c r="N63" s="2">
        <v>88</v>
      </c>
      <c r="O63" s="2">
        <v>31</v>
      </c>
      <c r="P63" s="2">
        <v>7992</v>
      </c>
      <c r="Q63" s="2">
        <v>799.2</v>
      </c>
      <c r="R63" s="21">
        <f t="shared" ca="1" si="0"/>
        <v>59696</v>
      </c>
    </row>
    <row r="64" spans="1:18">
      <c r="A64" s="2">
        <v>33</v>
      </c>
      <c r="B64" s="2" t="s">
        <v>34</v>
      </c>
      <c r="C64" s="2" t="s">
        <v>31</v>
      </c>
      <c r="D64" s="2" t="s">
        <v>20</v>
      </c>
      <c r="E64" s="2">
        <v>5</v>
      </c>
      <c r="F64" s="2">
        <v>447</v>
      </c>
      <c r="G64" s="2">
        <v>0</v>
      </c>
      <c r="H64" s="2" t="s">
        <v>32</v>
      </c>
      <c r="I64" s="2">
        <v>2023</v>
      </c>
      <c r="J64" s="2">
        <v>6387</v>
      </c>
      <c r="K64" s="2" t="s">
        <v>36</v>
      </c>
      <c r="L64" s="2" t="s">
        <v>29</v>
      </c>
      <c r="M64" s="2" t="s">
        <v>30</v>
      </c>
      <c r="N64" s="2">
        <v>95</v>
      </c>
      <c r="O64" s="2">
        <v>30</v>
      </c>
      <c r="P64" s="2">
        <v>2235</v>
      </c>
      <c r="Q64" s="2">
        <v>0</v>
      </c>
      <c r="R64" s="21">
        <f t="shared" ca="1" si="0"/>
        <v>36051</v>
      </c>
    </row>
    <row r="65" spans="1:18">
      <c r="A65" s="2">
        <v>96</v>
      </c>
      <c r="B65" s="2" t="s">
        <v>34</v>
      </c>
      <c r="C65" s="2" t="s">
        <v>39</v>
      </c>
      <c r="D65" s="2" t="s">
        <v>20</v>
      </c>
      <c r="E65" s="2">
        <v>19</v>
      </c>
      <c r="F65" s="2">
        <v>168</v>
      </c>
      <c r="G65" s="2">
        <v>15</v>
      </c>
      <c r="H65" s="2" t="s">
        <v>28</v>
      </c>
      <c r="I65" s="2">
        <v>2023</v>
      </c>
      <c r="J65" s="2">
        <v>8028</v>
      </c>
      <c r="K65" s="2" t="s">
        <v>36</v>
      </c>
      <c r="L65" s="2" t="s">
        <v>29</v>
      </c>
      <c r="M65" s="2" t="s">
        <v>24</v>
      </c>
      <c r="N65" s="2">
        <v>64</v>
      </c>
      <c r="O65" s="2">
        <v>30</v>
      </c>
      <c r="P65" s="2">
        <v>3192</v>
      </c>
      <c r="Q65" s="2">
        <v>478.8</v>
      </c>
      <c r="R65" s="21">
        <f t="shared" ca="1" si="0"/>
        <v>36500</v>
      </c>
    </row>
    <row r="66" spans="1:18">
      <c r="A66" s="2">
        <v>144</v>
      </c>
      <c r="B66" s="2" t="s">
        <v>38</v>
      </c>
      <c r="C66" s="2" t="s">
        <v>26</v>
      </c>
      <c r="D66" s="2" t="s">
        <v>40</v>
      </c>
      <c r="E66" s="2">
        <v>17</v>
      </c>
      <c r="F66" s="2">
        <v>145</v>
      </c>
      <c r="G66" s="2">
        <v>5</v>
      </c>
      <c r="H66" s="2" t="s">
        <v>21</v>
      </c>
      <c r="I66" s="2">
        <v>2025</v>
      </c>
      <c r="J66" s="2">
        <v>5153</v>
      </c>
      <c r="K66" s="2" t="s">
        <v>22</v>
      </c>
      <c r="L66" s="2" t="s">
        <v>33</v>
      </c>
      <c r="M66" s="2" t="s">
        <v>24</v>
      </c>
      <c r="N66" s="2">
        <v>27</v>
      </c>
      <c r="O66" s="2">
        <v>30</v>
      </c>
      <c r="P66" s="2">
        <v>2465</v>
      </c>
      <c r="Q66" s="2">
        <v>123.25</v>
      </c>
      <c r="R66" s="21">
        <f t="shared" ca="1" si="0"/>
        <v>31231</v>
      </c>
    </row>
    <row r="67" spans="1:18">
      <c r="A67" s="2">
        <v>43</v>
      </c>
      <c r="B67" s="2" t="s">
        <v>25</v>
      </c>
      <c r="C67" s="2" t="s">
        <v>19</v>
      </c>
      <c r="D67" s="2" t="s">
        <v>42</v>
      </c>
      <c r="E67" s="2">
        <v>17</v>
      </c>
      <c r="F67" s="2">
        <v>990</v>
      </c>
      <c r="G67" s="2">
        <v>5</v>
      </c>
      <c r="H67" s="2" t="s">
        <v>21</v>
      </c>
      <c r="I67" s="2">
        <v>2023</v>
      </c>
      <c r="J67" s="2">
        <v>17145</v>
      </c>
      <c r="K67" s="2" t="s">
        <v>36</v>
      </c>
      <c r="L67" s="2" t="s">
        <v>29</v>
      </c>
      <c r="M67" s="2" t="s">
        <v>30</v>
      </c>
      <c r="N67" s="2">
        <v>42</v>
      </c>
      <c r="O67" s="2">
        <v>29</v>
      </c>
      <c r="P67" s="2">
        <v>16830</v>
      </c>
      <c r="Q67" s="2">
        <v>841.5</v>
      </c>
      <c r="R67" s="21">
        <f t="shared" ref="R67:R130" ca="1" si="1">RANDBETWEEN(2222,99999)</f>
        <v>28403</v>
      </c>
    </row>
    <row r="68" spans="1:18">
      <c r="A68" s="2">
        <v>126</v>
      </c>
      <c r="B68" s="2" t="s">
        <v>25</v>
      </c>
      <c r="C68" s="2" t="s">
        <v>31</v>
      </c>
      <c r="D68" s="2" t="s">
        <v>27</v>
      </c>
      <c r="E68" s="2">
        <v>14</v>
      </c>
      <c r="F68" s="2">
        <v>160</v>
      </c>
      <c r="G68" s="2">
        <v>10</v>
      </c>
      <c r="H68" s="2" t="s">
        <v>28</v>
      </c>
      <c r="I68" s="2">
        <v>2024</v>
      </c>
      <c r="J68" s="2">
        <v>11766</v>
      </c>
      <c r="K68" s="2" t="s">
        <v>22</v>
      </c>
      <c r="L68" s="2" t="s">
        <v>33</v>
      </c>
      <c r="M68" s="2" t="s">
        <v>37</v>
      </c>
      <c r="N68" s="2">
        <v>13</v>
      </c>
      <c r="O68" s="2">
        <v>29</v>
      </c>
      <c r="P68" s="2">
        <v>2240</v>
      </c>
      <c r="Q68" s="2">
        <v>224</v>
      </c>
      <c r="R68" s="21">
        <f t="shared" ca="1" si="1"/>
        <v>24763</v>
      </c>
    </row>
    <row r="69" spans="1:18">
      <c r="A69" s="2">
        <v>40</v>
      </c>
      <c r="B69" s="2" t="s">
        <v>34</v>
      </c>
      <c r="C69" s="2" t="s">
        <v>26</v>
      </c>
      <c r="D69" s="2" t="s">
        <v>40</v>
      </c>
      <c r="E69" s="2">
        <v>9</v>
      </c>
      <c r="F69" s="2">
        <v>537</v>
      </c>
      <c r="G69" s="2">
        <v>10</v>
      </c>
      <c r="H69" s="2" t="s">
        <v>32</v>
      </c>
      <c r="I69" s="2">
        <v>2025</v>
      </c>
      <c r="J69" s="2">
        <v>9223</v>
      </c>
      <c r="K69" s="2" t="s">
        <v>22</v>
      </c>
      <c r="L69" s="2" t="s">
        <v>33</v>
      </c>
      <c r="M69" s="2" t="s">
        <v>30</v>
      </c>
      <c r="N69" s="2">
        <v>42</v>
      </c>
      <c r="O69" s="2">
        <v>28</v>
      </c>
      <c r="P69" s="2">
        <v>4833</v>
      </c>
      <c r="Q69" s="2">
        <v>483.3</v>
      </c>
      <c r="R69" s="21">
        <f t="shared" ca="1" si="1"/>
        <v>84534</v>
      </c>
    </row>
    <row r="70" spans="1:18">
      <c r="A70" s="2">
        <v>76</v>
      </c>
      <c r="B70" s="2" t="s">
        <v>25</v>
      </c>
      <c r="C70" s="2" t="s">
        <v>31</v>
      </c>
      <c r="D70" s="2" t="s">
        <v>27</v>
      </c>
      <c r="E70" s="2">
        <v>18</v>
      </c>
      <c r="F70" s="2">
        <v>407</v>
      </c>
      <c r="G70" s="2">
        <v>0</v>
      </c>
      <c r="H70" s="2" t="s">
        <v>41</v>
      </c>
      <c r="I70" s="2">
        <v>2025</v>
      </c>
      <c r="J70" s="2">
        <v>18689</v>
      </c>
      <c r="K70" s="2" t="s">
        <v>36</v>
      </c>
      <c r="L70" s="2" t="s">
        <v>23</v>
      </c>
      <c r="M70" s="2" t="s">
        <v>30</v>
      </c>
      <c r="N70" s="2">
        <v>67</v>
      </c>
      <c r="O70" s="2">
        <v>28</v>
      </c>
      <c r="P70" s="2">
        <v>7326</v>
      </c>
      <c r="Q70" s="2">
        <v>0</v>
      </c>
      <c r="R70" s="21">
        <f t="shared" ca="1" si="1"/>
        <v>70977</v>
      </c>
    </row>
    <row r="71" spans="1:18">
      <c r="A71" s="2">
        <v>94</v>
      </c>
      <c r="B71" s="2" t="s">
        <v>34</v>
      </c>
      <c r="C71" s="2" t="s">
        <v>19</v>
      </c>
      <c r="D71" s="2" t="s">
        <v>27</v>
      </c>
      <c r="E71" s="2">
        <v>4</v>
      </c>
      <c r="F71" s="2">
        <v>607</v>
      </c>
      <c r="G71" s="2">
        <v>15</v>
      </c>
      <c r="H71" s="2" t="s">
        <v>32</v>
      </c>
      <c r="I71" s="2">
        <v>2024</v>
      </c>
      <c r="J71" s="2">
        <v>16664</v>
      </c>
      <c r="K71" s="2" t="s">
        <v>36</v>
      </c>
      <c r="L71" s="2" t="s">
        <v>23</v>
      </c>
      <c r="M71" s="2" t="s">
        <v>37</v>
      </c>
      <c r="N71" s="2">
        <v>17</v>
      </c>
      <c r="O71" s="2">
        <v>28</v>
      </c>
      <c r="P71" s="2">
        <v>2428</v>
      </c>
      <c r="Q71" s="2">
        <v>364.2</v>
      </c>
      <c r="R71" s="21">
        <f t="shared" ca="1" si="1"/>
        <v>10617</v>
      </c>
    </row>
    <row r="72" spans="1:18">
      <c r="A72" s="2">
        <v>114</v>
      </c>
      <c r="B72" s="2" t="s">
        <v>34</v>
      </c>
      <c r="C72" s="2" t="s">
        <v>31</v>
      </c>
      <c r="D72" s="2" t="s">
        <v>42</v>
      </c>
      <c r="E72" s="2">
        <v>4</v>
      </c>
      <c r="F72" s="2">
        <v>619</v>
      </c>
      <c r="G72" s="2">
        <v>5</v>
      </c>
      <c r="H72" s="2" t="s">
        <v>32</v>
      </c>
      <c r="I72" s="2">
        <v>2025</v>
      </c>
      <c r="J72" s="2">
        <v>8850</v>
      </c>
      <c r="K72" s="2" t="s">
        <v>36</v>
      </c>
      <c r="L72" s="2" t="s">
        <v>33</v>
      </c>
      <c r="M72" s="2" t="s">
        <v>24</v>
      </c>
      <c r="N72" s="2">
        <v>72</v>
      </c>
      <c r="O72" s="2">
        <v>28</v>
      </c>
      <c r="P72" s="2">
        <v>2476</v>
      </c>
      <c r="Q72" s="2">
        <v>123.8</v>
      </c>
      <c r="R72" s="21">
        <f t="shared" ca="1" si="1"/>
        <v>93806</v>
      </c>
    </row>
    <row r="73" spans="1:18">
      <c r="A73" s="2">
        <v>21</v>
      </c>
      <c r="B73" s="2" t="s">
        <v>34</v>
      </c>
      <c r="C73" s="2" t="s">
        <v>19</v>
      </c>
      <c r="D73" s="2" t="s">
        <v>42</v>
      </c>
      <c r="E73" s="2">
        <v>15</v>
      </c>
      <c r="F73" s="2">
        <v>977</v>
      </c>
      <c r="G73" s="2">
        <v>10</v>
      </c>
      <c r="H73" s="2" t="s">
        <v>28</v>
      </c>
      <c r="I73" s="2">
        <v>2023</v>
      </c>
      <c r="J73" s="2">
        <v>19596</v>
      </c>
      <c r="K73" s="2" t="s">
        <v>36</v>
      </c>
      <c r="L73" s="2" t="s">
        <v>29</v>
      </c>
      <c r="M73" s="2" t="s">
        <v>24</v>
      </c>
      <c r="N73" s="2">
        <v>20</v>
      </c>
      <c r="O73" s="2">
        <v>27</v>
      </c>
      <c r="P73" s="2">
        <v>14655</v>
      </c>
      <c r="Q73" s="2">
        <v>1465.5</v>
      </c>
      <c r="R73" s="21">
        <f t="shared" ca="1" si="1"/>
        <v>67502</v>
      </c>
    </row>
    <row r="74" spans="1:18">
      <c r="A74" s="2">
        <v>53</v>
      </c>
      <c r="B74" s="2" t="s">
        <v>25</v>
      </c>
      <c r="C74" s="2" t="s">
        <v>39</v>
      </c>
      <c r="D74" s="2" t="s">
        <v>27</v>
      </c>
      <c r="E74" s="2">
        <v>5</v>
      </c>
      <c r="F74" s="2">
        <v>723</v>
      </c>
      <c r="G74" s="2">
        <v>10</v>
      </c>
      <c r="H74" s="2" t="s">
        <v>32</v>
      </c>
      <c r="I74" s="2">
        <v>2023</v>
      </c>
      <c r="J74" s="2">
        <v>12368</v>
      </c>
      <c r="K74" s="2" t="s">
        <v>36</v>
      </c>
      <c r="L74" s="2" t="s">
        <v>33</v>
      </c>
      <c r="M74" s="2" t="s">
        <v>30</v>
      </c>
      <c r="N74" s="2">
        <v>58</v>
      </c>
      <c r="O74" s="2">
        <v>27</v>
      </c>
      <c r="P74" s="2">
        <v>3615</v>
      </c>
      <c r="Q74" s="2">
        <v>361.5</v>
      </c>
      <c r="R74" s="21">
        <f t="shared" ca="1" si="1"/>
        <v>83844</v>
      </c>
    </row>
    <row r="75" spans="1:18">
      <c r="A75" s="2">
        <v>63</v>
      </c>
      <c r="B75" s="2" t="s">
        <v>25</v>
      </c>
      <c r="C75" s="2" t="s">
        <v>39</v>
      </c>
      <c r="D75" s="2" t="s">
        <v>20</v>
      </c>
      <c r="E75" s="2">
        <v>13</v>
      </c>
      <c r="F75" s="2">
        <v>521</v>
      </c>
      <c r="G75" s="2">
        <v>10</v>
      </c>
      <c r="H75" s="2" t="s">
        <v>28</v>
      </c>
      <c r="I75" s="2">
        <v>2025</v>
      </c>
      <c r="J75" s="2">
        <v>16990</v>
      </c>
      <c r="K75" s="2" t="s">
        <v>22</v>
      </c>
      <c r="L75" s="2" t="s">
        <v>29</v>
      </c>
      <c r="M75" s="2" t="s">
        <v>37</v>
      </c>
      <c r="N75" s="2">
        <v>85</v>
      </c>
      <c r="O75" s="2">
        <v>27</v>
      </c>
      <c r="P75" s="2">
        <v>6773</v>
      </c>
      <c r="Q75" s="2">
        <v>677.3</v>
      </c>
      <c r="R75" s="21">
        <f t="shared" ca="1" si="1"/>
        <v>61902</v>
      </c>
    </row>
    <row r="76" spans="1:18">
      <c r="A76" s="2">
        <v>136</v>
      </c>
      <c r="B76" s="2" t="s">
        <v>25</v>
      </c>
      <c r="C76" s="2" t="s">
        <v>31</v>
      </c>
      <c r="D76" s="2" t="s">
        <v>27</v>
      </c>
      <c r="E76" s="2">
        <v>13</v>
      </c>
      <c r="F76" s="2">
        <v>633</v>
      </c>
      <c r="G76" s="2">
        <v>10</v>
      </c>
      <c r="H76" s="2" t="s">
        <v>35</v>
      </c>
      <c r="I76" s="2">
        <v>2024</v>
      </c>
      <c r="J76" s="2">
        <v>6762</v>
      </c>
      <c r="K76" s="2" t="s">
        <v>36</v>
      </c>
      <c r="L76" s="2" t="s">
        <v>23</v>
      </c>
      <c r="M76" s="2" t="s">
        <v>30</v>
      </c>
      <c r="N76" s="2">
        <v>43</v>
      </c>
      <c r="O76" s="2">
        <v>26</v>
      </c>
      <c r="P76" s="2">
        <v>8229</v>
      </c>
      <c r="Q76" s="2">
        <v>822.9</v>
      </c>
      <c r="R76" s="21">
        <f t="shared" ca="1" si="1"/>
        <v>6289</v>
      </c>
    </row>
    <row r="77" spans="1:18">
      <c r="A77" s="2">
        <v>75</v>
      </c>
      <c r="B77" s="2" t="s">
        <v>43</v>
      </c>
      <c r="C77" s="2" t="s">
        <v>39</v>
      </c>
      <c r="D77" s="2" t="s">
        <v>27</v>
      </c>
      <c r="E77" s="2">
        <v>13</v>
      </c>
      <c r="F77" s="2">
        <v>546</v>
      </c>
      <c r="G77" s="2">
        <v>10</v>
      </c>
      <c r="H77" s="2" t="s">
        <v>41</v>
      </c>
      <c r="I77" s="2">
        <v>2024</v>
      </c>
      <c r="J77" s="2">
        <v>12141</v>
      </c>
      <c r="K77" s="2" t="s">
        <v>36</v>
      </c>
      <c r="L77" s="2" t="s">
        <v>33</v>
      </c>
      <c r="M77" s="2" t="s">
        <v>30</v>
      </c>
      <c r="N77" s="2">
        <v>15</v>
      </c>
      <c r="O77" s="2">
        <v>25</v>
      </c>
      <c r="P77" s="2">
        <v>7098</v>
      </c>
      <c r="Q77" s="2">
        <v>709.8</v>
      </c>
      <c r="R77" s="21">
        <f t="shared" ca="1" si="1"/>
        <v>91006</v>
      </c>
    </row>
    <row r="78" spans="1:18">
      <c r="A78" s="2">
        <v>123</v>
      </c>
      <c r="B78" s="2" t="s">
        <v>25</v>
      </c>
      <c r="C78" s="2" t="s">
        <v>31</v>
      </c>
      <c r="D78" s="2" t="s">
        <v>40</v>
      </c>
      <c r="E78" s="2">
        <v>13</v>
      </c>
      <c r="F78" s="2">
        <v>766</v>
      </c>
      <c r="G78" s="2">
        <v>10</v>
      </c>
      <c r="H78" s="2" t="s">
        <v>28</v>
      </c>
      <c r="I78" s="2">
        <v>2025</v>
      </c>
      <c r="J78" s="2">
        <v>6333</v>
      </c>
      <c r="K78" s="2" t="s">
        <v>36</v>
      </c>
      <c r="L78" s="2" t="s">
        <v>33</v>
      </c>
      <c r="M78" s="2" t="s">
        <v>24</v>
      </c>
      <c r="N78" s="2">
        <v>33</v>
      </c>
      <c r="O78" s="2">
        <v>25</v>
      </c>
      <c r="P78" s="2">
        <v>9958</v>
      </c>
      <c r="Q78" s="2">
        <v>995.8</v>
      </c>
      <c r="R78" s="21">
        <f t="shared" ca="1" si="1"/>
        <v>73711</v>
      </c>
    </row>
    <row r="79" spans="1:18">
      <c r="A79" s="2">
        <v>130</v>
      </c>
      <c r="B79" s="2" t="s">
        <v>18</v>
      </c>
      <c r="C79" s="2" t="s">
        <v>31</v>
      </c>
      <c r="D79" s="2" t="s">
        <v>20</v>
      </c>
      <c r="E79" s="2">
        <v>19</v>
      </c>
      <c r="F79" s="2">
        <v>888</v>
      </c>
      <c r="G79" s="2">
        <v>15</v>
      </c>
      <c r="H79" s="2" t="s">
        <v>35</v>
      </c>
      <c r="I79" s="2">
        <v>2025</v>
      </c>
      <c r="J79" s="2">
        <v>11212</v>
      </c>
      <c r="K79" s="2" t="s">
        <v>22</v>
      </c>
      <c r="L79" s="2" t="s">
        <v>29</v>
      </c>
      <c r="M79" s="2" t="s">
        <v>37</v>
      </c>
      <c r="N79" s="2">
        <v>59</v>
      </c>
      <c r="O79" s="2">
        <v>25</v>
      </c>
      <c r="P79" s="2">
        <v>16872</v>
      </c>
      <c r="Q79" s="2">
        <v>2530.8000000000002</v>
      </c>
      <c r="R79" s="21">
        <f t="shared" ca="1" si="1"/>
        <v>19189</v>
      </c>
    </row>
    <row r="80" spans="1:18">
      <c r="A80" s="2">
        <v>150</v>
      </c>
      <c r="B80" s="2" t="s">
        <v>18</v>
      </c>
      <c r="C80" s="2" t="s">
        <v>39</v>
      </c>
      <c r="D80" s="2" t="s">
        <v>20</v>
      </c>
      <c r="E80" s="2">
        <v>1</v>
      </c>
      <c r="F80" s="2">
        <v>893</v>
      </c>
      <c r="G80" s="2">
        <v>10</v>
      </c>
      <c r="H80" s="2" t="s">
        <v>32</v>
      </c>
      <c r="I80" s="2">
        <v>2025</v>
      </c>
      <c r="J80" s="2">
        <v>10760</v>
      </c>
      <c r="K80" s="2" t="s">
        <v>36</v>
      </c>
      <c r="L80" s="2" t="s">
        <v>23</v>
      </c>
      <c r="M80" s="2" t="s">
        <v>24</v>
      </c>
      <c r="N80" s="2">
        <v>96</v>
      </c>
      <c r="O80" s="2">
        <v>25</v>
      </c>
      <c r="P80" s="2">
        <v>893</v>
      </c>
      <c r="Q80" s="2">
        <v>89.3</v>
      </c>
      <c r="R80" s="21">
        <f t="shared" ca="1" si="1"/>
        <v>63705</v>
      </c>
    </row>
    <row r="81" spans="1:18">
      <c r="A81" s="2">
        <v>14</v>
      </c>
      <c r="B81" s="2" t="s">
        <v>34</v>
      </c>
      <c r="C81" s="2" t="s">
        <v>39</v>
      </c>
      <c r="D81" s="2" t="s">
        <v>40</v>
      </c>
      <c r="E81" s="2">
        <v>9</v>
      </c>
      <c r="F81" s="2">
        <v>813</v>
      </c>
      <c r="G81" s="2">
        <v>15</v>
      </c>
      <c r="H81" s="2" t="s">
        <v>41</v>
      </c>
      <c r="I81" s="2">
        <v>2023</v>
      </c>
      <c r="J81" s="2">
        <v>9841</v>
      </c>
      <c r="K81" s="2" t="s">
        <v>22</v>
      </c>
      <c r="L81" s="2" t="s">
        <v>33</v>
      </c>
      <c r="M81" s="2" t="s">
        <v>30</v>
      </c>
      <c r="N81" s="2">
        <v>41</v>
      </c>
      <c r="O81" s="2">
        <v>24</v>
      </c>
      <c r="P81" s="2">
        <v>7317</v>
      </c>
      <c r="Q81" s="2">
        <v>1097.55</v>
      </c>
      <c r="R81" s="21">
        <f t="shared" ca="1" si="1"/>
        <v>3068</v>
      </c>
    </row>
    <row r="82" spans="1:18">
      <c r="A82" s="2">
        <v>20</v>
      </c>
      <c r="B82" s="2" t="s">
        <v>43</v>
      </c>
      <c r="C82" s="2" t="s">
        <v>31</v>
      </c>
      <c r="D82" s="2" t="s">
        <v>20</v>
      </c>
      <c r="E82" s="2">
        <v>19</v>
      </c>
      <c r="F82" s="2">
        <v>556</v>
      </c>
      <c r="G82" s="2">
        <v>15</v>
      </c>
      <c r="H82" s="2" t="s">
        <v>28</v>
      </c>
      <c r="I82" s="2">
        <v>2025</v>
      </c>
      <c r="J82" s="2">
        <v>6555</v>
      </c>
      <c r="K82" s="2" t="s">
        <v>22</v>
      </c>
      <c r="L82" s="2" t="s">
        <v>29</v>
      </c>
      <c r="M82" s="2" t="s">
        <v>30</v>
      </c>
      <c r="N82" s="2">
        <v>17</v>
      </c>
      <c r="O82" s="2">
        <v>24</v>
      </c>
      <c r="P82" s="2">
        <v>10564</v>
      </c>
      <c r="Q82" s="2">
        <v>1584.6</v>
      </c>
      <c r="R82" s="21">
        <f t="shared" ca="1" si="1"/>
        <v>32069</v>
      </c>
    </row>
    <row r="83" spans="1:18">
      <c r="A83" s="2">
        <v>92</v>
      </c>
      <c r="B83" s="2" t="s">
        <v>25</v>
      </c>
      <c r="C83" s="2" t="s">
        <v>19</v>
      </c>
      <c r="D83" s="2" t="s">
        <v>42</v>
      </c>
      <c r="E83" s="2">
        <v>11</v>
      </c>
      <c r="F83" s="2">
        <v>429</v>
      </c>
      <c r="G83" s="2">
        <v>0</v>
      </c>
      <c r="H83" s="2" t="s">
        <v>41</v>
      </c>
      <c r="I83" s="2">
        <v>2025</v>
      </c>
      <c r="J83" s="2">
        <v>16145</v>
      </c>
      <c r="K83" s="2" t="s">
        <v>36</v>
      </c>
      <c r="L83" s="2" t="s">
        <v>23</v>
      </c>
      <c r="M83" s="2" t="s">
        <v>30</v>
      </c>
      <c r="N83" s="2">
        <v>64</v>
      </c>
      <c r="O83" s="2">
        <v>24</v>
      </c>
      <c r="P83" s="2">
        <v>4719</v>
      </c>
      <c r="Q83" s="2">
        <v>0</v>
      </c>
      <c r="R83" s="21">
        <f t="shared" ca="1" si="1"/>
        <v>26515</v>
      </c>
    </row>
    <row r="84" spans="1:18">
      <c r="A84" s="2">
        <v>138</v>
      </c>
      <c r="B84" s="2" t="s">
        <v>25</v>
      </c>
      <c r="C84" s="2" t="s">
        <v>26</v>
      </c>
      <c r="D84" s="2" t="s">
        <v>20</v>
      </c>
      <c r="E84" s="2">
        <v>1</v>
      </c>
      <c r="F84" s="2">
        <v>937</v>
      </c>
      <c r="G84" s="2">
        <v>10</v>
      </c>
      <c r="H84" s="2" t="s">
        <v>35</v>
      </c>
      <c r="I84" s="2">
        <v>2025</v>
      </c>
      <c r="J84" s="2">
        <v>12101</v>
      </c>
      <c r="K84" s="2" t="s">
        <v>22</v>
      </c>
      <c r="L84" s="2" t="s">
        <v>29</v>
      </c>
      <c r="M84" s="2" t="s">
        <v>24</v>
      </c>
      <c r="N84" s="2">
        <v>15</v>
      </c>
      <c r="O84" s="2">
        <v>24</v>
      </c>
      <c r="P84" s="2">
        <v>937</v>
      </c>
      <c r="Q84" s="2">
        <v>93.7</v>
      </c>
      <c r="R84" s="21">
        <f t="shared" ca="1" si="1"/>
        <v>52922</v>
      </c>
    </row>
    <row r="85" spans="1:18">
      <c r="A85" s="2">
        <v>89</v>
      </c>
      <c r="B85" s="2" t="s">
        <v>18</v>
      </c>
      <c r="C85" s="2" t="s">
        <v>26</v>
      </c>
      <c r="D85" s="2" t="s">
        <v>20</v>
      </c>
      <c r="E85" s="2">
        <v>13</v>
      </c>
      <c r="F85" s="2">
        <v>237</v>
      </c>
      <c r="G85" s="2">
        <v>10</v>
      </c>
      <c r="H85" s="2" t="s">
        <v>28</v>
      </c>
      <c r="I85" s="2">
        <v>2023</v>
      </c>
      <c r="J85" s="2">
        <v>19060</v>
      </c>
      <c r="K85" s="2" t="s">
        <v>36</v>
      </c>
      <c r="L85" s="2" t="s">
        <v>33</v>
      </c>
      <c r="M85" s="2" t="s">
        <v>30</v>
      </c>
      <c r="N85" s="2">
        <v>34</v>
      </c>
      <c r="O85" s="2">
        <v>23</v>
      </c>
      <c r="P85" s="2">
        <v>3081</v>
      </c>
      <c r="Q85" s="2">
        <v>308.10000000000002</v>
      </c>
      <c r="R85" s="21">
        <f t="shared" ca="1" si="1"/>
        <v>39787</v>
      </c>
    </row>
    <row r="86" spans="1:18">
      <c r="A86" s="2">
        <v>31</v>
      </c>
      <c r="B86" s="2" t="s">
        <v>43</v>
      </c>
      <c r="C86" s="2" t="s">
        <v>31</v>
      </c>
      <c r="D86" s="2" t="s">
        <v>42</v>
      </c>
      <c r="E86" s="2">
        <v>7</v>
      </c>
      <c r="F86" s="2">
        <v>899</v>
      </c>
      <c r="G86" s="2">
        <v>15</v>
      </c>
      <c r="H86" s="2" t="s">
        <v>35</v>
      </c>
      <c r="I86" s="2">
        <v>2025</v>
      </c>
      <c r="J86" s="2">
        <v>16769</v>
      </c>
      <c r="K86" s="2" t="s">
        <v>22</v>
      </c>
      <c r="L86" s="2" t="s">
        <v>29</v>
      </c>
      <c r="M86" s="2" t="s">
        <v>30</v>
      </c>
      <c r="N86" s="2">
        <v>89</v>
      </c>
      <c r="O86" s="2">
        <v>22</v>
      </c>
      <c r="P86" s="2">
        <v>6293</v>
      </c>
      <c r="Q86" s="2">
        <v>943.95</v>
      </c>
      <c r="R86" s="21">
        <f t="shared" ca="1" si="1"/>
        <v>15683</v>
      </c>
    </row>
    <row r="87" spans="1:18">
      <c r="A87" s="2">
        <v>100</v>
      </c>
      <c r="B87" s="2" t="s">
        <v>34</v>
      </c>
      <c r="C87" s="2" t="s">
        <v>26</v>
      </c>
      <c r="D87" s="2" t="s">
        <v>42</v>
      </c>
      <c r="E87" s="2">
        <v>17</v>
      </c>
      <c r="F87" s="2">
        <v>549</v>
      </c>
      <c r="G87" s="2">
        <v>10</v>
      </c>
      <c r="H87" s="2" t="s">
        <v>21</v>
      </c>
      <c r="I87" s="2">
        <v>2025</v>
      </c>
      <c r="J87" s="2">
        <v>8629</v>
      </c>
      <c r="K87" s="2" t="s">
        <v>22</v>
      </c>
      <c r="L87" s="2" t="s">
        <v>33</v>
      </c>
      <c r="M87" s="2" t="s">
        <v>37</v>
      </c>
      <c r="N87" s="2">
        <v>91</v>
      </c>
      <c r="O87" s="2">
        <v>22</v>
      </c>
      <c r="P87" s="2">
        <v>9333</v>
      </c>
      <c r="Q87" s="2">
        <v>933.3</v>
      </c>
      <c r="R87" s="21">
        <f t="shared" ca="1" si="1"/>
        <v>53754</v>
      </c>
    </row>
    <row r="88" spans="1:18">
      <c r="A88" s="2">
        <v>104</v>
      </c>
      <c r="B88" s="2" t="s">
        <v>18</v>
      </c>
      <c r="C88" s="2" t="s">
        <v>26</v>
      </c>
      <c r="D88" s="2" t="s">
        <v>40</v>
      </c>
      <c r="E88" s="2">
        <v>3</v>
      </c>
      <c r="F88" s="2">
        <v>142</v>
      </c>
      <c r="G88" s="2">
        <v>0</v>
      </c>
      <c r="H88" s="2" t="s">
        <v>41</v>
      </c>
      <c r="I88" s="2">
        <v>2025</v>
      </c>
      <c r="J88" s="2">
        <v>10941</v>
      </c>
      <c r="K88" s="2" t="s">
        <v>36</v>
      </c>
      <c r="L88" s="2" t="s">
        <v>29</v>
      </c>
      <c r="M88" s="2" t="s">
        <v>37</v>
      </c>
      <c r="N88" s="2">
        <v>31</v>
      </c>
      <c r="O88" s="2">
        <v>22</v>
      </c>
      <c r="P88" s="2">
        <v>426</v>
      </c>
      <c r="Q88" s="2">
        <v>0</v>
      </c>
      <c r="R88" s="21">
        <f t="shared" ca="1" si="1"/>
        <v>64615</v>
      </c>
    </row>
    <row r="89" spans="1:18">
      <c r="A89" s="2">
        <v>119</v>
      </c>
      <c r="B89" s="2" t="s">
        <v>18</v>
      </c>
      <c r="C89" s="2" t="s">
        <v>19</v>
      </c>
      <c r="D89" s="2" t="s">
        <v>42</v>
      </c>
      <c r="E89" s="2">
        <v>4</v>
      </c>
      <c r="F89" s="2">
        <v>380</v>
      </c>
      <c r="G89" s="2">
        <v>10</v>
      </c>
      <c r="H89" s="2" t="s">
        <v>35</v>
      </c>
      <c r="I89" s="2">
        <v>2023</v>
      </c>
      <c r="J89" s="2">
        <v>14328</v>
      </c>
      <c r="K89" s="2" t="s">
        <v>36</v>
      </c>
      <c r="L89" s="2" t="s">
        <v>29</v>
      </c>
      <c r="M89" s="2" t="s">
        <v>37</v>
      </c>
      <c r="N89" s="2">
        <v>94</v>
      </c>
      <c r="O89" s="2">
        <v>21</v>
      </c>
      <c r="P89" s="2">
        <v>1520</v>
      </c>
      <c r="Q89" s="2">
        <v>152</v>
      </c>
      <c r="R89" s="21">
        <f t="shared" ca="1" si="1"/>
        <v>44306</v>
      </c>
    </row>
    <row r="90" spans="1:18">
      <c r="A90" s="2">
        <v>111</v>
      </c>
      <c r="B90" s="2" t="s">
        <v>18</v>
      </c>
      <c r="C90" s="2" t="s">
        <v>19</v>
      </c>
      <c r="D90" s="2" t="s">
        <v>42</v>
      </c>
      <c r="E90" s="2">
        <v>6</v>
      </c>
      <c r="F90" s="2">
        <v>947</v>
      </c>
      <c r="G90" s="2">
        <v>10</v>
      </c>
      <c r="H90" s="2" t="s">
        <v>32</v>
      </c>
      <c r="I90" s="2">
        <v>2024</v>
      </c>
      <c r="J90" s="2">
        <v>18081</v>
      </c>
      <c r="K90" s="2" t="s">
        <v>22</v>
      </c>
      <c r="L90" s="2" t="s">
        <v>23</v>
      </c>
      <c r="M90" s="2" t="s">
        <v>30</v>
      </c>
      <c r="N90" s="2">
        <v>44</v>
      </c>
      <c r="O90" s="2">
        <v>20</v>
      </c>
      <c r="P90" s="2">
        <v>5682</v>
      </c>
      <c r="Q90" s="2">
        <v>568.20000000000005</v>
      </c>
      <c r="R90" s="21">
        <f t="shared" ca="1" si="1"/>
        <v>21255</v>
      </c>
    </row>
    <row r="91" spans="1:18">
      <c r="A91" s="2">
        <v>15</v>
      </c>
      <c r="B91" s="2" t="s">
        <v>25</v>
      </c>
      <c r="C91" s="2" t="s">
        <v>31</v>
      </c>
      <c r="D91" s="2" t="s">
        <v>40</v>
      </c>
      <c r="E91" s="2">
        <v>19</v>
      </c>
      <c r="F91" s="2">
        <v>557</v>
      </c>
      <c r="G91" s="2">
        <v>0</v>
      </c>
      <c r="H91" s="2" t="s">
        <v>21</v>
      </c>
      <c r="I91" s="2">
        <v>2023</v>
      </c>
      <c r="J91" s="2">
        <v>6409</v>
      </c>
      <c r="K91" s="2" t="s">
        <v>36</v>
      </c>
      <c r="L91" s="2" t="s">
        <v>33</v>
      </c>
      <c r="M91" s="2" t="s">
        <v>30</v>
      </c>
      <c r="N91" s="2">
        <v>20</v>
      </c>
      <c r="O91" s="2">
        <v>19</v>
      </c>
      <c r="P91" s="2">
        <v>10583</v>
      </c>
      <c r="Q91" s="2">
        <v>0</v>
      </c>
      <c r="R91" s="21">
        <f t="shared" ca="1" si="1"/>
        <v>48663</v>
      </c>
    </row>
    <row r="92" spans="1:18">
      <c r="A92" s="2">
        <v>47</v>
      </c>
      <c r="B92" s="2" t="s">
        <v>34</v>
      </c>
      <c r="C92" s="2" t="s">
        <v>19</v>
      </c>
      <c r="D92" s="2" t="s">
        <v>42</v>
      </c>
      <c r="E92" s="2">
        <v>13</v>
      </c>
      <c r="F92" s="2">
        <v>335</v>
      </c>
      <c r="G92" s="2">
        <v>0</v>
      </c>
      <c r="H92" s="2" t="s">
        <v>21</v>
      </c>
      <c r="I92" s="2">
        <v>2025</v>
      </c>
      <c r="J92" s="2">
        <v>17808</v>
      </c>
      <c r="K92" s="2" t="s">
        <v>22</v>
      </c>
      <c r="L92" s="2" t="s">
        <v>23</v>
      </c>
      <c r="M92" s="2" t="s">
        <v>30</v>
      </c>
      <c r="N92" s="2">
        <v>75</v>
      </c>
      <c r="O92" s="2">
        <v>19</v>
      </c>
      <c r="P92" s="2">
        <v>4355</v>
      </c>
      <c r="Q92" s="2">
        <v>0</v>
      </c>
      <c r="R92" s="21">
        <f t="shared" ca="1" si="1"/>
        <v>74334</v>
      </c>
    </row>
    <row r="93" spans="1:18">
      <c r="A93" s="2">
        <v>52</v>
      </c>
      <c r="B93" s="2" t="s">
        <v>34</v>
      </c>
      <c r="C93" s="2" t="s">
        <v>26</v>
      </c>
      <c r="D93" s="2" t="s">
        <v>42</v>
      </c>
      <c r="E93" s="2">
        <v>2</v>
      </c>
      <c r="F93" s="2">
        <v>500</v>
      </c>
      <c r="G93" s="2">
        <v>10</v>
      </c>
      <c r="H93" s="2" t="s">
        <v>35</v>
      </c>
      <c r="I93" s="2">
        <v>2023</v>
      </c>
      <c r="J93" s="2">
        <v>16622</v>
      </c>
      <c r="K93" s="2" t="s">
        <v>22</v>
      </c>
      <c r="L93" s="2" t="s">
        <v>33</v>
      </c>
      <c r="M93" s="2" t="s">
        <v>30</v>
      </c>
      <c r="N93" s="2">
        <v>53</v>
      </c>
      <c r="O93" s="2">
        <v>19</v>
      </c>
      <c r="P93" s="2">
        <v>1000</v>
      </c>
      <c r="Q93" s="2">
        <v>100</v>
      </c>
      <c r="R93" s="21">
        <f t="shared" ca="1" si="1"/>
        <v>78937</v>
      </c>
    </row>
    <row r="94" spans="1:18">
      <c r="A94" s="2">
        <v>68</v>
      </c>
      <c r="B94" s="2" t="s">
        <v>43</v>
      </c>
      <c r="C94" s="2" t="s">
        <v>39</v>
      </c>
      <c r="D94" s="2" t="s">
        <v>40</v>
      </c>
      <c r="E94" s="2">
        <v>12</v>
      </c>
      <c r="F94" s="2">
        <v>405</v>
      </c>
      <c r="G94" s="2">
        <v>0</v>
      </c>
      <c r="H94" s="2" t="s">
        <v>21</v>
      </c>
      <c r="I94" s="2">
        <v>2024</v>
      </c>
      <c r="J94" s="2">
        <v>17116</v>
      </c>
      <c r="K94" s="2" t="s">
        <v>22</v>
      </c>
      <c r="L94" s="2" t="s">
        <v>29</v>
      </c>
      <c r="M94" s="2" t="s">
        <v>37</v>
      </c>
      <c r="N94" s="2">
        <v>93</v>
      </c>
      <c r="O94" s="2">
        <v>19</v>
      </c>
      <c r="P94" s="2">
        <v>4860</v>
      </c>
      <c r="Q94" s="2">
        <v>0</v>
      </c>
      <c r="R94" s="21">
        <f t="shared" ca="1" si="1"/>
        <v>98943</v>
      </c>
    </row>
    <row r="95" spans="1:18">
      <c r="A95" s="2">
        <v>74</v>
      </c>
      <c r="B95" s="2" t="s">
        <v>43</v>
      </c>
      <c r="C95" s="2" t="s">
        <v>19</v>
      </c>
      <c r="D95" s="2" t="s">
        <v>40</v>
      </c>
      <c r="E95" s="2">
        <v>13</v>
      </c>
      <c r="F95" s="2">
        <v>534</v>
      </c>
      <c r="G95" s="2">
        <v>5</v>
      </c>
      <c r="H95" s="2" t="s">
        <v>41</v>
      </c>
      <c r="I95" s="2">
        <v>2023</v>
      </c>
      <c r="J95" s="2">
        <v>10796</v>
      </c>
      <c r="K95" s="2" t="s">
        <v>22</v>
      </c>
      <c r="L95" s="2" t="s">
        <v>23</v>
      </c>
      <c r="M95" s="2" t="s">
        <v>30</v>
      </c>
      <c r="N95" s="2">
        <v>13</v>
      </c>
      <c r="O95" s="2">
        <v>19</v>
      </c>
      <c r="P95" s="2">
        <v>6942</v>
      </c>
      <c r="Q95" s="2">
        <v>347.1</v>
      </c>
      <c r="R95" s="21">
        <f t="shared" ca="1" si="1"/>
        <v>71455</v>
      </c>
    </row>
    <row r="96" spans="1:18">
      <c r="A96" s="2">
        <v>87</v>
      </c>
      <c r="B96" s="2" t="s">
        <v>38</v>
      </c>
      <c r="C96" s="2" t="s">
        <v>19</v>
      </c>
      <c r="D96" s="2" t="s">
        <v>27</v>
      </c>
      <c r="E96" s="2">
        <v>12</v>
      </c>
      <c r="F96" s="2">
        <v>896</v>
      </c>
      <c r="G96" s="2">
        <v>0</v>
      </c>
      <c r="H96" s="2" t="s">
        <v>41</v>
      </c>
      <c r="I96" s="2">
        <v>2025</v>
      </c>
      <c r="J96" s="2">
        <v>13801</v>
      </c>
      <c r="K96" s="2" t="s">
        <v>36</v>
      </c>
      <c r="L96" s="2" t="s">
        <v>29</v>
      </c>
      <c r="M96" s="2" t="s">
        <v>24</v>
      </c>
      <c r="N96" s="2">
        <v>21</v>
      </c>
      <c r="O96" s="2">
        <v>19</v>
      </c>
      <c r="P96" s="2">
        <v>10752</v>
      </c>
      <c r="Q96" s="2">
        <v>0</v>
      </c>
      <c r="R96" s="21">
        <f t="shared" ca="1" si="1"/>
        <v>60117</v>
      </c>
    </row>
    <row r="97" spans="1:18">
      <c r="A97" s="2">
        <v>103</v>
      </c>
      <c r="B97" s="2" t="s">
        <v>25</v>
      </c>
      <c r="C97" s="2" t="s">
        <v>39</v>
      </c>
      <c r="D97" s="2" t="s">
        <v>42</v>
      </c>
      <c r="E97" s="2">
        <v>1</v>
      </c>
      <c r="F97" s="2">
        <v>846</v>
      </c>
      <c r="G97" s="2">
        <v>0</v>
      </c>
      <c r="H97" s="2" t="s">
        <v>21</v>
      </c>
      <c r="I97" s="2">
        <v>2023</v>
      </c>
      <c r="J97" s="2">
        <v>8067</v>
      </c>
      <c r="K97" s="2" t="s">
        <v>36</v>
      </c>
      <c r="L97" s="2" t="s">
        <v>23</v>
      </c>
      <c r="M97" s="2" t="s">
        <v>30</v>
      </c>
      <c r="N97" s="2">
        <v>92</v>
      </c>
      <c r="O97" s="2">
        <v>19</v>
      </c>
      <c r="P97" s="2">
        <v>846</v>
      </c>
      <c r="Q97" s="2">
        <v>0</v>
      </c>
      <c r="R97" s="21">
        <f t="shared" ca="1" si="1"/>
        <v>2752</v>
      </c>
    </row>
    <row r="98" spans="1:18">
      <c r="A98" s="2">
        <v>143</v>
      </c>
      <c r="B98" s="2" t="s">
        <v>38</v>
      </c>
      <c r="C98" s="2" t="s">
        <v>19</v>
      </c>
      <c r="D98" s="2" t="s">
        <v>20</v>
      </c>
      <c r="E98" s="2">
        <v>11</v>
      </c>
      <c r="F98" s="2">
        <v>445</v>
      </c>
      <c r="G98" s="2">
        <v>15</v>
      </c>
      <c r="H98" s="2" t="s">
        <v>32</v>
      </c>
      <c r="I98" s="2">
        <v>2025</v>
      </c>
      <c r="J98" s="2">
        <v>19536</v>
      </c>
      <c r="K98" s="2" t="s">
        <v>36</v>
      </c>
      <c r="L98" s="2" t="s">
        <v>29</v>
      </c>
      <c r="M98" s="2" t="s">
        <v>30</v>
      </c>
      <c r="N98" s="2">
        <v>12</v>
      </c>
      <c r="O98" s="2">
        <v>18</v>
      </c>
      <c r="P98" s="2">
        <v>4895</v>
      </c>
      <c r="Q98" s="2">
        <v>734.25</v>
      </c>
      <c r="R98" s="21">
        <f t="shared" ca="1" si="1"/>
        <v>68100</v>
      </c>
    </row>
    <row r="99" spans="1:18">
      <c r="A99" s="2">
        <v>128</v>
      </c>
      <c r="B99" s="2" t="s">
        <v>43</v>
      </c>
      <c r="C99" s="2" t="s">
        <v>39</v>
      </c>
      <c r="D99" s="2" t="s">
        <v>20</v>
      </c>
      <c r="E99" s="2">
        <v>6</v>
      </c>
      <c r="F99" s="2">
        <v>150</v>
      </c>
      <c r="G99" s="2">
        <v>0</v>
      </c>
      <c r="H99" s="2" t="s">
        <v>21</v>
      </c>
      <c r="I99" s="2">
        <v>2025</v>
      </c>
      <c r="J99" s="2">
        <v>9853</v>
      </c>
      <c r="K99" s="2" t="s">
        <v>36</v>
      </c>
      <c r="L99" s="2" t="s">
        <v>33</v>
      </c>
      <c r="M99" s="2" t="s">
        <v>30</v>
      </c>
      <c r="N99" s="2">
        <v>69</v>
      </c>
      <c r="O99" s="2">
        <v>17</v>
      </c>
      <c r="P99" s="2">
        <v>900</v>
      </c>
      <c r="Q99" s="2">
        <v>0</v>
      </c>
      <c r="R99" s="21">
        <f t="shared" ca="1" si="1"/>
        <v>78101</v>
      </c>
    </row>
    <row r="100" spans="1:18">
      <c r="A100" s="2">
        <v>19</v>
      </c>
      <c r="B100" s="2" t="s">
        <v>18</v>
      </c>
      <c r="C100" s="2" t="s">
        <v>19</v>
      </c>
      <c r="D100" s="2" t="s">
        <v>40</v>
      </c>
      <c r="E100" s="2">
        <v>14</v>
      </c>
      <c r="F100" s="2">
        <v>177</v>
      </c>
      <c r="G100" s="2">
        <v>0</v>
      </c>
      <c r="H100" s="2" t="s">
        <v>32</v>
      </c>
      <c r="I100" s="2">
        <v>2025</v>
      </c>
      <c r="J100" s="2">
        <v>9491</v>
      </c>
      <c r="K100" s="2" t="s">
        <v>22</v>
      </c>
      <c r="L100" s="2" t="s">
        <v>29</v>
      </c>
      <c r="M100" s="2" t="s">
        <v>37</v>
      </c>
      <c r="N100" s="2">
        <v>50</v>
      </c>
      <c r="O100" s="2">
        <v>16</v>
      </c>
      <c r="P100" s="2">
        <v>2478</v>
      </c>
      <c r="Q100" s="2">
        <v>0</v>
      </c>
      <c r="R100" s="21">
        <f t="shared" ca="1" si="1"/>
        <v>43677</v>
      </c>
    </row>
    <row r="101" spans="1:18">
      <c r="A101" s="2">
        <v>129</v>
      </c>
      <c r="B101" s="2" t="s">
        <v>38</v>
      </c>
      <c r="C101" s="2" t="s">
        <v>19</v>
      </c>
      <c r="D101" s="2" t="s">
        <v>20</v>
      </c>
      <c r="E101" s="2">
        <v>18</v>
      </c>
      <c r="F101" s="2">
        <v>502</v>
      </c>
      <c r="G101" s="2">
        <v>15</v>
      </c>
      <c r="H101" s="2" t="s">
        <v>28</v>
      </c>
      <c r="I101" s="2">
        <v>2023</v>
      </c>
      <c r="J101" s="2">
        <v>17693</v>
      </c>
      <c r="K101" s="2" t="s">
        <v>36</v>
      </c>
      <c r="L101" s="2" t="s">
        <v>23</v>
      </c>
      <c r="M101" s="2" t="s">
        <v>30</v>
      </c>
      <c r="N101" s="2">
        <v>33</v>
      </c>
      <c r="O101" s="2">
        <v>16</v>
      </c>
      <c r="P101" s="2">
        <v>9036</v>
      </c>
      <c r="Q101" s="2">
        <v>1355.4</v>
      </c>
      <c r="R101" s="21">
        <f t="shared" ca="1" si="1"/>
        <v>84551</v>
      </c>
    </row>
    <row r="102" spans="1:18">
      <c r="A102" s="2">
        <v>38</v>
      </c>
      <c r="B102" s="2" t="s">
        <v>43</v>
      </c>
      <c r="C102" s="2" t="s">
        <v>26</v>
      </c>
      <c r="D102" s="2" t="s">
        <v>27</v>
      </c>
      <c r="E102" s="2">
        <v>15</v>
      </c>
      <c r="F102" s="2">
        <v>349</v>
      </c>
      <c r="G102" s="2">
        <v>10</v>
      </c>
      <c r="H102" s="2" t="s">
        <v>28</v>
      </c>
      <c r="I102" s="2">
        <v>2025</v>
      </c>
      <c r="J102" s="2">
        <v>7106</v>
      </c>
      <c r="K102" s="2" t="s">
        <v>22</v>
      </c>
      <c r="L102" s="2" t="s">
        <v>33</v>
      </c>
      <c r="M102" s="2" t="s">
        <v>37</v>
      </c>
      <c r="N102" s="2">
        <v>41</v>
      </c>
      <c r="O102" s="2">
        <v>15</v>
      </c>
      <c r="P102" s="2">
        <v>5235</v>
      </c>
      <c r="Q102" s="2">
        <v>523.5</v>
      </c>
      <c r="R102" s="21">
        <f t="shared" ca="1" si="1"/>
        <v>37590</v>
      </c>
    </row>
    <row r="103" spans="1:18">
      <c r="A103" s="2">
        <v>106</v>
      </c>
      <c r="B103" s="2" t="s">
        <v>43</v>
      </c>
      <c r="C103" s="2" t="s">
        <v>39</v>
      </c>
      <c r="D103" s="2" t="s">
        <v>20</v>
      </c>
      <c r="E103" s="2">
        <v>11</v>
      </c>
      <c r="F103" s="2">
        <v>982</v>
      </c>
      <c r="G103" s="2">
        <v>0</v>
      </c>
      <c r="H103" s="2" t="s">
        <v>35</v>
      </c>
      <c r="I103" s="2">
        <v>2025</v>
      </c>
      <c r="J103" s="2">
        <v>16968</v>
      </c>
      <c r="K103" s="2" t="s">
        <v>22</v>
      </c>
      <c r="L103" s="2" t="s">
        <v>23</v>
      </c>
      <c r="M103" s="2" t="s">
        <v>24</v>
      </c>
      <c r="N103" s="2">
        <v>65</v>
      </c>
      <c r="O103" s="2">
        <v>15</v>
      </c>
      <c r="P103" s="2">
        <v>10802</v>
      </c>
      <c r="Q103" s="2">
        <v>0</v>
      </c>
      <c r="R103" s="21">
        <f t="shared" ca="1" si="1"/>
        <v>32141</v>
      </c>
    </row>
    <row r="104" spans="1:18">
      <c r="A104" s="2">
        <v>145</v>
      </c>
      <c r="B104" s="2" t="s">
        <v>25</v>
      </c>
      <c r="C104" s="2" t="s">
        <v>31</v>
      </c>
      <c r="D104" s="2" t="s">
        <v>27</v>
      </c>
      <c r="E104" s="2">
        <v>13</v>
      </c>
      <c r="F104" s="2">
        <v>645</v>
      </c>
      <c r="G104" s="2">
        <v>10</v>
      </c>
      <c r="H104" s="2" t="s">
        <v>41</v>
      </c>
      <c r="I104" s="2">
        <v>2024</v>
      </c>
      <c r="J104" s="2">
        <v>12617</v>
      </c>
      <c r="K104" s="2" t="s">
        <v>22</v>
      </c>
      <c r="L104" s="2" t="s">
        <v>23</v>
      </c>
      <c r="M104" s="2" t="s">
        <v>30</v>
      </c>
      <c r="N104" s="2">
        <v>49</v>
      </c>
      <c r="O104" s="2">
        <v>15</v>
      </c>
      <c r="P104" s="2">
        <v>8385</v>
      </c>
      <c r="Q104" s="2">
        <v>838.5</v>
      </c>
      <c r="R104" s="21">
        <f t="shared" ca="1" si="1"/>
        <v>83850</v>
      </c>
    </row>
    <row r="105" spans="1:18">
      <c r="A105" s="2">
        <v>65</v>
      </c>
      <c r="B105" s="2" t="s">
        <v>34</v>
      </c>
      <c r="C105" s="2" t="s">
        <v>19</v>
      </c>
      <c r="D105" s="2" t="s">
        <v>27</v>
      </c>
      <c r="E105" s="2">
        <v>4</v>
      </c>
      <c r="F105" s="2">
        <v>863</v>
      </c>
      <c r="G105" s="2">
        <v>5</v>
      </c>
      <c r="H105" s="2" t="s">
        <v>35</v>
      </c>
      <c r="I105" s="2">
        <v>2023</v>
      </c>
      <c r="J105" s="2">
        <v>5074</v>
      </c>
      <c r="K105" s="2" t="s">
        <v>22</v>
      </c>
      <c r="L105" s="2" t="s">
        <v>33</v>
      </c>
      <c r="M105" s="2" t="s">
        <v>37</v>
      </c>
      <c r="N105" s="2">
        <v>81</v>
      </c>
      <c r="O105" s="2">
        <v>14</v>
      </c>
      <c r="P105" s="2">
        <v>3452</v>
      </c>
      <c r="Q105" s="2">
        <v>172.6</v>
      </c>
      <c r="R105" s="21">
        <f t="shared" ca="1" si="1"/>
        <v>99301</v>
      </c>
    </row>
    <row r="106" spans="1:18">
      <c r="A106" s="2">
        <v>3</v>
      </c>
      <c r="B106" s="2" t="s">
        <v>18</v>
      </c>
      <c r="C106" s="2" t="s">
        <v>31</v>
      </c>
      <c r="D106" s="2" t="s">
        <v>20</v>
      </c>
      <c r="E106" s="2">
        <v>13</v>
      </c>
      <c r="F106" s="2">
        <v>617</v>
      </c>
      <c r="G106" s="2">
        <v>0</v>
      </c>
      <c r="H106" s="2" t="s">
        <v>32</v>
      </c>
      <c r="I106" s="2">
        <v>2024</v>
      </c>
      <c r="J106" s="2">
        <v>8695</v>
      </c>
      <c r="K106" s="2" t="s">
        <v>22</v>
      </c>
      <c r="L106" s="2" t="s">
        <v>33</v>
      </c>
      <c r="M106" s="2" t="s">
        <v>24</v>
      </c>
      <c r="N106" s="2">
        <v>81</v>
      </c>
      <c r="O106" s="2">
        <v>13</v>
      </c>
      <c r="P106" s="2">
        <v>8021</v>
      </c>
      <c r="Q106" s="2">
        <v>0</v>
      </c>
      <c r="R106" s="21">
        <f t="shared" ca="1" si="1"/>
        <v>82463</v>
      </c>
    </row>
    <row r="107" spans="1:18">
      <c r="A107" s="2">
        <v>4</v>
      </c>
      <c r="B107" s="2" t="s">
        <v>34</v>
      </c>
      <c r="C107" s="2" t="s">
        <v>31</v>
      </c>
      <c r="D107" s="2" t="s">
        <v>20</v>
      </c>
      <c r="E107" s="2">
        <v>3</v>
      </c>
      <c r="F107" s="2">
        <v>575</v>
      </c>
      <c r="G107" s="2">
        <v>5</v>
      </c>
      <c r="H107" s="2" t="s">
        <v>35</v>
      </c>
      <c r="I107" s="2">
        <v>2025</v>
      </c>
      <c r="J107" s="2">
        <v>8452</v>
      </c>
      <c r="K107" s="2" t="s">
        <v>36</v>
      </c>
      <c r="L107" s="2" t="s">
        <v>33</v>
      </c>
      <c r="M107" s="2" t="s">
        <v>37</v>
      </c>
      <c r="N107" s="2">
        <v>20</v>
      </c>
      <c r="O107" s="2">
        <v>13</v>
      </c>
      <c r="P107" s="2">
        <v>1725</v>
      </c>
      <c r="Q107" s="2">
        <v>86.25</v>
      </c>
      <c r="R107" s="21">
        <f t="shared" ca="1" si="1"/>
        <v>54784</v>
      </c>
    </row>
    <row r="108" spans="1:18">
      <c r="A108" s="2">
        <v>12</v>
      </c>
      <c r="B108" s="2" t="s">
        <v>25</v>
      </c>
      <c r="C108" s="2" t="s">
        <v>31</v>
      </c>
      <c r="D108" s="2" t="s">
        <v>42</v>
      </c>
      <c r="E108" s="2">
        <v>4</v>
      </c>
      <c r="F108" s="2">
        <v>664</v>
      </c>
      <c r="G108" s="2">
        <v>0</v>
      </c>
      <c r="H108" s="2" t="s">
        <v>41</v>
      </c>
      <c r="I108" s="2">
        <v>2024</v>
      </c>
      <c r="J108" s="2">
        <v>11035</v>
      </c>
      <c r="K108" s="2" t="s">
        <v>36</v>
      </c>
      <c r="L108" s="2" t="s">
        <v>23</v>
      </c>
      <c r="M108" s="2" t="s">
        <v>37</v>
      </c>
      <c r="N108" s="2">
        <v>91</v>
      </c>
      <c r="O108" s="2">
        <v>13</v>
      </c>
      <c r="P108" s="2">
        <v>2656</v>
      </c>
      <c r="Q108" s="2">
        <v>0</v>
      </c>
      <c r="R108" s="21">
        <f t="shared" ca="1" si="1"/>
        <v>53032</v>
      </c>
    </row>
    <row r="109" spans="1:18">
      <c r="A109" s="2">
        <v>37</v>
      </c>
      <c r="B109" s="2" t="s">
        <v>25</v>
      </c>
      <c r="C109" s="2" t="s">
        <v>19</v>
      </c>
      <c r="D109" s="2" t="s">
        <v>42</v>
      </c>
      <c r="E109" s="2">
        <v>18</v>
      </c>
      <c r="F109" s="2">
        <v>253</v>
      </c>
      <c r="G109" s="2">
        <v>15</v>
      </c>
      <c r="H109" s="2" t="s">
        <v>28</v>
      </c>
      <c r="I109" s="2">
        <v>2024</v>
      </c>
      <c r="J109" s="2">
        <v>7679</v>
      </c>
      <c r="K109" s="2" t="s">
        <v>36</v>
      </c>
      <c r="L109" s="2" t="s">
        <v>23</v>
      </c>
      <c r="M109" s="2" t="s">
        <v>30</v>
      </c>
      <c r="N109" s="2">
        <v>49</v>
      </c>
      <c r="O109" s="2">
        <v>13</v>
      </c>
      <c r="P109" s="2">
        <v>4554</v>
      </c>
      <c r="Q109" s="2">
        <v>683.1</v>
      </c>
      <c r="R109" s="21">
        <f t="shared" ca="1" si="1"/>
        <v>73989</v>
      </c>
    </row>
    <row r="110" spans="1:18">
      <c r="A110" s="2">
        <v>70</v>
      </c>
      <c r="B110" s="2" t="s">
        <v>25</v>
      </c>
      <c r="C110" s="2" t="s">
        <v>31</v>
      </c>
      <c r="D110" s="2" t="s">
        <v>20</v>
      </c>
      <c r="E110" s="2">
        <v>10</v>
      </c>
      <c r="F110" s="2">
        <v>949</v>
      </c>
      <c r="G110" s="2">
        <v>0</v>
      </c>
      <c r="H110" s="2" t="s">
        <v>21</v>
      </c>
      <c r="I110" s="2">
        <v>2023</v>
      </c>
      <c r="J110" s="2">
        <v>10475</v>
      </c>
      <c r="K110" s="2" t="s">
        <v>22</v>
      </c>
      <c r="L110" s="2" t="s">
        <v>23</v>
      </c>
      <c r="M110" s="2" t="s">
        <v>37</v>
      </c>
      <c r="N110" s="2">
        <v>16</v>
      </c>
      <c r="O110" s="2">
        <v>13</v>
      </c>
      <c r="P110" s="2">
        <v>9490</v>
      </c>
      <c r="Q110" s="2">
        <v>0</v>
      </c>
      <c r="R110" s="21">
        <f t="shared" ca="1" si="1"/>
        <v>4528</v>
      </c>
    </row>
    <row r="111" spans="1:18">
      <c r="A111" s="2">
        <v>84</v>
      </c>
      <c r="B111" s="2" t="s">
        <v>18</v>
      </c>
      <c r="C111" s="2" t="s">
        <v>26</v>
      </c>
      <c r="D111" s="2" t="s">
        <v>40</v>
      </c>
      <c r="E111" s="2">
        <v>1</v>
      </c>
      <c r="F111" s="2">
        <v>662</v>
      </c>
      <c r="G111" s="2">
        <v>10</v>
      </c>
      <c r="H111" s="2" t="s">
        <v>21</v>
      </c>
      <c r="I111" s="2">
        <v>2023</v>
      </c>
      <c r="J111" s="2">
        <v>5645</v>
      </c>
      <c r="K111" s="2" t="s">
        <v>36</v>
      </c>
      <c r="L111" s="2" t="s">
        <v>29</v>
      </c>
      <c r="M111" s="2" t="s">
        <v>37</v>
      </c>
      <c r="N111" s="2">
        <v>91</v>
      </c>
      <c r="O111" s="2">
        <v>13</v>
      </c>
      <c r="P111" s="2">
        <v>662</v>
      </c>
      <c r="Q111" s="2">
        <v>66.2</v>
      </c>
      <c r="R111" s="21">
        <f t="shared" ca="1" si="1"/>
        <v>24528</v>
      </c>
    </row>
    <row r="112" spans="1:18">
      <c r="A112" s="2">
        <v>146</v>
      </c>
      <c r="B112" s="2" t="s">
        <v>34</v>
      </c>
      <c r="C112" s="2" t="s">
        <v>19</v>
      </c>
      <c r="D112" s="2" t="s">
        <v>27</v>
      </c>
      <c r="E112" s="2">
        <v>1</v>
      </c>
      <c r="F112" s="2">
        <v>177</v>
      </c>
      <c r="G112" s="2">
        <v>5</v>
      </c>
      <c r="H112" s="2" t="s">
        <v>35</v>
      </c>
      <c r="I112" s="2">
        <v>2025</v>
      </c>
      <c r="J112" s="2">
        <v>6524</v>
      </c>
      <c r="K112" s="2" t="s">
        <v>36</v>
      </c>
      <c r="L112" s="2" t="s">
        <v>23</v>
      </c>
      <c r="M112" s="2" t="s">
        <v>24</v>
      </c>
      <c r="N112" s="2">
        <v>30</v>
      </c>
      <c r="O112" s="2">
        <v>13</v>
      </c>
      <c r="P112" s="2">
        <v>177</v>
      </c>
      <c r="Q112" s="2">
        <v>8.85</v>
      </c>
      <c r="R112" s="21">
        <f t="shared" ca="1" si="1"/>
        <v>42911</v>
      </c>
    </row>
    <row r="113" spans="1:18">
      <c r="A113" s="2">
        <v>28</v>
      </c>
      <c r="B113" s="2" t="s">
        <v>18</v>
      </c>
      <c r="C113" s="2" t="s">
        <v>39</v>
      </c>
      <c r="D113" s="2" t="s">
        <v>20</v>
      </c>
      <c r="E113" s="2">
        <v>7</v>
      </c>
      <c r="F113" s="2">
        <v>548</v>
      </c>
      <c r="G113" s="2">
        <v>15</v>
      </c>
      <c r="H113" s="2" t="s">
        <v>21</v>
      </c>
      <c r="I113" s="2">
        <v>2023</v>
      </c>
      <c r="J113" s="2">
        <v>12083</v>
      </c>
      <c r="K113" s="2" t="s">
        <v>22</v>
      </c>
      <c r="L113" s="2" t="s">
        <v>29</v>
      </c>
      <c r="M113" s="2" t="s">
        <v>30</v>
      </c>
      <c r="N113" s="2">
        <v>55</v>
      </c>
      <c r="O113" s="2">
        <v>11</v>
      </c>
      <c r="P113" s="2">
        <v>3836</v>
      </c>
      <c r="Q113" s="2">
        <v>575.4</v>
      </c>
      <c r="R113" s="21">
        <f t="shared" ca="1" si="1"/>
        <v>56911</v>
      </c>
    </row>
    <row r="114" spans="1:18">
      <c r="A114" s="2">
        <v>42</v>
      </c>
      <c r="B114" s="2" t="s">
        <v>34</v>
      </c>
      <c r="C114" s="2" t="s">
        <v>31</v>
      </c>
      <c r="D114" s="2" t="s">
        <v>20</v>
      </c>
      <c r="E114" s="2">
        <v>12</v>
      </c>
      <c r="F114" s="2">
        <v>870</v>
      </c>
      <c r="G114" s="2">
        <v>10</v>
      </c>
      <c r="H114" s="2" t="s">
        <v>35</v>
      </c>
      <c r="I114" s="2">
        <v>2025</v>
      </c>
      <c r="J114" s="2">
        <v>7768</v>
      </c>
      <c r="K114" s="2" t="s">
        <v>22</v>
      </c>
      <c r="L114" s="2" t="s">
        <v>33</v>
      </c>
      <c r="M114" s="2" t="s">
        <v>24</v>
      </c>
      <c r="N114" s="2">
        <v>39</v>
      </c>
      <c r="O114" s="2">
        <v>11</v>
      </c>
      <c r="P114" s="2">
        <v>10440</v>
      </c>
      <c r="Q114" s="2">
        <v>1044</v>
      </c>
      <c r="R114" s="21">
        <f t="shared" ca="1" si="1"/>
        <v>16874</v>
      </c>
    </row>
    <row r="115" spans="1:18">
      <c r="A115" s="2">
        <v>50</v>
      </c>
      <c r="B115" s="2" t="s">
        <v>18</v>
      </c>
      <c r="C115" s="2" t="s">
        <v>31</v>
      </c>
      <c r="D115" s="2" t="s">
        <v>20</v>
      </c>
      <c r="E115" s="2">
        <v>9</v>
      </c>
      <c r="F115" s="2">
        <v>862</v>
      </c>
      <c r="G115" s="2">
        <v>5</v>
      </c>
      <c r="H115" s="2" t="s">
        <v>28</v>
      </c>
      <c r="I115" s="2">
        <v>2025</v>
      </c>
      <c r="J115" s="2">
        <v>13428</v>
      </c>
      <c r="K115" s="2" t="s">
        <v>36</v>
      </c>
      <c r="L115" s="2" t="s">
        <v>23</v>
      </c>
      <c r="M115" s="2" t="s">
        <v>30</v>
      </c>
      <c r="N115" s="2">
        <v>55</v>
      </c>
      <c r="O115" s="2">
        <v>11</v>
      </c>
      <c r="P115" s="2">
        <v>7758</v>
      </c>
      <c r="Q115" s="2">
        <v>387.9</v>
      </c>
      <c r="R115" s="21">
        <f t="shared" ca="1" si="1"/>
        <v>18022</v>
      </c>
    </row>
    <row r="116" spans="1:18">
      <c r="A116" s="2">
        <v>58</v>
      </c>
      <c r="B116" s="2" t="s">
        <v>25</v>
      </c>
      <c r="C116" s="2" t="s">
        <v>26</v>
      </c>
      <c r="D116" s="2" t="s">
        <v>42</v>
      </c>
      <c r="E116" s="2">
        <v>16</v>
      </c>
      <c r="F116" s="2">
        <v>952</v>
      </c>
      <c r="G116" s="2">
        <v>15</v>
      </c>
      <c r="H116" s="2" t="s">
        <v>28</v>
      </c>
      <c r="I116" s="2">
        <v>2024</v>
      </c>
      <c r="J116" s="2">
        <v>11809</v>
      </c>
      <c r="K116" s="2" t="s">
        <v>36</v>
      </c>
      <c r="L116" s="2" t="s">
        <v>29</v>
      </c>
      <c r="M116" s="2" t="s">
        <v>37</v>
      </c>
      <c r="N116" s="2">
        <v>18</v>
      </c>
      <c r="O116" s="2">
        <v>11</v>
      </c>
      <c r="P116" s="2">
        <v>15232</v>
      </c>
      <c r="Q116" s="2">
        <v>2284.8000000000002</v>
      </c>
      <c r="R116" s="21">
        <f t="shared" ca="1" si="1"/>
        <v>89125</v>
      </c>
    </row>
    <row r="117" spans="1:18">
      <c r="A117" s="2">
        <v>85</v>
      </c>
      <c r="B117" s="2" t="s">
        <v>34</v>
      </c>
      <c r="C117" s="2" t="s">
        <v>19</v>
      </c>
      <c r="D117" s="2" t="s">
        <v>40</v>
      </c>
      <c r="E117" s="2">
        <v>6</v>
      </c>
      <c r="F117" s="2">
        <v>180</v>
      </c>
      <c r="G117" s="2">
        <v>15</v>
      </c>
      <c r="H117" s="2" t="s">
        <v>35</v>
      </c>
      <c r="I117" s="2">
        <v>2023</v>
      </c>
      <c r="J117" s="2">
        <v>18018</v>
      </c>
      <c r="K117" s="2" t="s">
        <v>22</v>
      </c>
      <c r="L117" s="2" t="s">
        <v>29</v>
      </c>
      <c r="M117" s="2" t="s">
        <v>37</v>
      </c>
      <c r="N117" s="2">
        <v>21</v>
      </c>
      <c r="O117" s="2">
        <v>11</v>
      </c>
      <c r="P117" s="2">
        <v>1080</v>
      </c>
      <c r="Q117" s="2">
        <v>162</v>
      </c>
      <c r="R117" s="21">
        <f t="shared" ca="1" si="1"/>
        <v>93531</v>
      </c>
    </row>
    <row r="118" spans="1:18">
      <c r="A118" s="2">
        <v>135</v>
      </c>
      <c r="B118" s="2" t="s">
        <v>38</v>
      </c>
      <c r="C118" s="2" t="s">
        <v>19</v>
      </c>
      <c r="D118" s="2" t="s">
        <v>27</v>
      </c>
      <c r="E118" s="2">
        <v>18</v>
      </c>
      <c r="F118" s="2">
        <v>928</v>
      </c>
      <c r="G118" s="2">
        <v>15</v>
      </c>
      <c r="H118" s="2" t="s">
        <v>41</v>
      </c>
      <c r="I118" s="2">
        <v>2025</v>
      </c>
      <c r="J118" s="2">
        <v>13942</v>
      </c>
      <c r="K118" s="2" t="s">
        <v>36</v>
      </c>
      <c r="L118" s="2" t="s">
        <v>29</v>
      </c>
      <c r="M118" s="2" t="s">
        <v>37</v>
      </c>
      <c r="N118" s="2">
        <v>88</v>
      </c>
      <c r="O118" s="2">
        <v>11</v>
      </c>
      <c r="P118" s="2">
        <v>16704</v>
      </c>
      <c r="Q118" s="2">
        <v>2505.6</v>
      </c>
      <c r="R118" s="21">
        <f t="shared" ca="1" si="1"/>
        <v>39431</v>
      </c>
    </row>
    <row r="119" spans="1:18">
      <c r="A119" s="2">
        <v>34</v>
      </c>
      <c r="B119" s="2" t="s">
        <v>38</v>
      </c>
      <c r="C119" s="2" t="s">
        <v>31</v>
      </c>
      <c r="D119" s="2" t="s">
        <v>27</v>
      </c>
      <c r="E119" s="2">
        <v>3</v>
      </c>
      <c r="F119" s="2">
        <v>194</v>
      </c>
      <c r="G119" s="2">
        <v>5</v>
      </c>
      <c r="H119" s="2" t="s">
        <v>41</v>
      </c>
      <c r="I119" s="2">
        <v>2024</v>
      </c>
      <c r="J119" s="2">
        <v>18591</v>
      </c>
      <c r="K119" s="2" t="s">
        <v>36</v>
      </c>
      <c r="L119" s="2" t="s">
        <v>23</v>
      </c>
      <c r="M119" s="2" t="s">
        <v>37</v>
      </c>
      <c r="N119" s="2">
        <v>29</v>
      </c>
      <c r="O119" s="2">
        <v>10</v>
      </c>
      <c r="P119" s="2">
        <v>582</v>
      </c>
      <c r="Q119" s="2">
        <v>29.1</v>
      </c>
      <c r="R119" s="21">
        <f t="shared" ca="1" si="1"/>
        <v>52338</v>
      </c>
    </row>
    <row r="120" spans="1:18">
      <c r="A120" s="2">
        <v>35</v>
      </c>
      <c r="B120" s="2" t="s">
        <v>18</v>
      </c>
      <c r="C120" s="2" t="s">
        <v>19</v>
      </c>
      <c r="D120" s="2" t="s">
        <v>27</v>
      </c>
      <c r="E120" s="2">
        <v>11</v>
      </c>
      <c r="F120" s="2">
        <v>171</v>
      </c>
      <c r="G120" s="2">
        <v>5</v>
      </c>
      <c r="H120" s="2" t="s">
        <v>41</v>
      </c>
      <c r="I120" s="2">
        <v>2025</v>
      </c>
      <c r="J120" s="2">
        <v>17880</v>
      </c>
      <c r="K120" s="2" t="s">
        <v>36</v>
      </c>
      <c r="L120" s="2" t="s">
        <v>33</v>
      </c>
      <c r="M120" s="2" t="s">
        <v>30</v>
      </c>
      <c r="N120" s="2">
        <v>42</v>
      </c>
      <c r="O120" s="2">
        <v>9</v>
      </c>
      <c r="P120" s="2">
        <v>1881</v>
      </c>
      <c r="Q120" s="2">
        <v>94.05</v>
      </c>
      <c r="R120" s="21">
        <f t="shared" ca="1" si="1"/>
        <v>87766</v>
      </c>
    </row>
    <row r="121" spans="1:18">
      <c r="A121" s="2">
        <v>39</v>
      </c>
      <c r="B121" s="2" t="s">
        <v>38</v>
      </c>
      <c r="C121" s="2" t="s">
        <v>39</v>
      </c>
      <c r="D121" s="2" t="s">
        <v>20</v>
      </c>
      <c r="E121" s="2">
        <v>12</v>
      </c>
      <c r="F121" s="2">
        <v>773</v>
      </c>
      <c r="G121" s="2">
        <v>10</v>
      </c>
      <c r="H121" s="2" t="s">
        <v>41</v>
      </c>
      <c r="I121" s="2">
        <v>2024</v>
      </c>
      <c r="J121" s="2">
        <v>13173</v>
      </c>
      <c r="K121" s="2" t="s">
        <v>22</v>
      </c>
      <c r="L121" s="2" t="s">
        <v>23</v>
      </c>
      <c r="M121" s="2" t="s">
        <v>37</v>
      </c>
      <c r="N121" s="2">
        <v>11</v>
      </c>
      <c r="O121" s="2">
        <v>9</v>
      </c>
      <c r="P121" s="2">
        <v>9276</v>
      </c>
      <c r="Q121" s="2">
        <v>927.6</v>
      </c>
      <c r="R121" s="21">
        <f t="shared" ca="1" si="1"/>
        <v>31642</v>
      </c>
    </row>
    <row r="122" spans="1:18">
      <c r="A122" s="2">
        <v>41</v>
      </c>
      <c r="B122" s="2" t="s">
        <v>43</v>
      </c>
      <c r="C122" s="2" t="s">
        <v>26</v>
      </c>
      <c r="D122" s="2" t="s">
        <v>27</v>
      </c>
      <c r="E122" s="2">
        <v>10</v>
      </c>
      <c r="F122" s="2">
        <v>217</v>
      </c>
      <c r="G122" s="2">
        <v>10</v>
      </c>
      <c r="H122" s="2" t="s">
        <v>35</v>
      </c>
      <c r="I122" s="2">
        <v>2024</v>
      </c>
      <c r="J122" s="2">
        <v>9831</v>
      </c>
      <c r="K122" s="2" t="s">
        <v>22</v>
      </c>
      <c r="L122" s="2" t="s">
        <v>29</v>
      </c>
      <c r="M122" s="2" t="s">
        <v>24</v>
      </c>
      <c r="N122" s="2">
        <v>86</v>
      </c>
      <c r="O122" s="2">
        <v>9</v>
      </c>
      <c r="P122" s="2">
        <v>2170</v>
      </c>
      <c r="Q122" s="2">
        <v>217</v>
      </c>
      <c r="R122" s="21">
        <f t="shared" ca="1" si="1"/>
        <v>64806</v>
      </c>
    </row>
    <row r="123" spans="1:18">
      <c r="A123" s="2">
        <v>125</v>
      </c>
      <c r="B123" s="2" t="s">
        <v>25</v>
      </c>
      <c r="C123" s="2" t="s">
        <v>39</v>
      </c>
      <c r="D123" s="2" t="s">
        <v>27</v>
      </c>
      <c r="E123" s="2">
        <v>13</v>
      </c>
      <c r="F123" s="2">
        <v>771</v>
      </c>
      <c r="G123" s="2">
        <v>10</v>
      </c>
      <c r="H123" s="2" t="s">
        <v>35</v>
      </c>
      <c r="I123" s="2">
        <v>2023</v>
      </c>
      <c r="J123" s="2">
        <v>9150</v>
      </c>
      <c r="K123" s="2" t="s">
        <v>22</v>
      </c>
      <c r="L123" s="2" t="s">
        <v>23</v>
      </c>
      <c r="M123" s="2" t="s">
        <v>24</v>
      </c>
      <c r="N123" s="2">
        <v>46</v>
      </c>
      <c r="O123" s="2">
        <v>9</v>
      </c>
      <c r="P123" s="2">
        <v>10023</v>
      </c>
      <c r="Q123" s="2">
        <v>1002.3</v>
      </c>
      <c r="R123" s="21">
        <f t="shared" ca="1" si="1"/>
        <v>63078</v>
      </c>
    </row>
    <row r="124" spans="1:18">
      <c r="A124" s="2">
        <v>72</v>
      </c>
      <c r="B124" s="2" t="s">
        <v>18</v>
      </c>
      <c r="C124" s="2" t="s">
        <v>39</v>
      </c>
      <c r="D124" s="2" t="s">
        <v>27</v>
      </c>
      <c r="E124" s="2">
        <v>7</v>
      </c>
      <c r="F124" s="2">
        <v>434</v>
      </c>
      <c r="G124" s="2">
        <v>0</v>
      </c>
      <c r="H124" s="2" t="s">
        <v>32</v>
      </c>
      <c r="I124" s="2">
        <v>2025</v>
      </c>
      <c r="J124" s="2">
        <v>15273</v>
      </c>
      <c r="K124" s="2" t="s">
        <v>22</v>
      </c>
      <c r="L124" s="2" t="s">
        <v>29</v>
      </c>
      <c r="M124" s="2" t="s">
        <v>30</v>
      </c>
      <c r="N124" s="2">
        <v>93</v>
      </c>
      <c r="O124" s="2">
        <v>8</v>
      </c>
      <c r="P124" s="2">
        <v>3038</v>
      </c>
      <c r="Q124" s="2">
        <v>0</v>
      </c>
      <c r="R124" s="21">
        <f t="shared" ca="1" si="1"/>
        <v>12994</v>
      </c>
    </row>
    <row r="125" spans="1:18">
      <c r="A125" s="2">
        <v>48</v>
      </c>
      <c r="B125" s="2" t="s">
        <v>43</v>
      </c>
      <c r="C125" s="2" t="s">
        <v>31</v>
      </c>
      <c r="D125" s="2" t="s">
        <v>42</v>
      </c>
      <c r="E125" s="2">
        <v>8</v>
      </c>
      <c r="F125" s="2">
        <v>488</v>
      </c>
      <c r="G125" s="2">
        <v>5</v>
      </c>
      <c r="H125" s="2" t="s">
        <v>35</v>
      </c>
      <c r="I125" s="2">
        <v>2024</v>
      </c>
      <c r="J125" s="2">
        <v>7599</v>
      </c>
      <c r="K125" s="2" t="s">
        <v>36</v>
      </c>
      <c r="L125" s="2" t="s">
        <v>33</v>
      </c>
      <c r="M125" s="2" t="s">
        <v>24</v>
      </c>
      <c r="N125" s="2">
        <v>47</v>
      </c>
      <c r="O125" s="2">
        <v>7</v>
      </c>
      <c r="P125" s="2">
        <v>3904</v>
      </c>
      <c r="Q125" s="2">
        <v>195.2</v>
      </c>
      <c r="R125" s="21">
        <f t="shared" ca="1" si="1"/>
        <v>64646</v>
      </c>
    </row>
    <row r="126" spans="1:18">
      <c r="A126" s="2">
        <v>109</v>
      </c>
      <c r="B126" s="2" t="s">
        <v>25</v>
      </c>
      <c r="C126" s="2" t="s">
        <v>39</v>
      </c>
      <c r="D126" s="2" t="s">
        <v>20</v>
      </c>
      <c r="E126" s="2">
        <v>16</v>
      </c>
      <c r="F126" s="2">
        <v>762</v>
      </c>
      <c r="G126" s="2">
        <v>5</v>
      </c>
      <c r="H126" s="2" t="s">
        <v>32</v>
      </c>
      <c r="I126" s="2">
        <v>2025</v>
      </c>
      <c r="J126" s="2">
        <v>16555</v>
      </c>
      <c r="K126" s="2" t="s">
        <v>22</v>
      </c>
      <c r="L126" s="2" t="s">
        <v>23</v>
      </c>
      <c r="M126" s="2" t="s">
        <v>24</v>
      </c>
      <c r="N126" s="2">
        <v>37</v>
      </c>
      <c r="O126" s="2">
        <v>7</v>
      </c>
      <c r="P126" s="2">
        <v>12192</v>
      </c>
      <c r="Q126" s="2">
        <v>609.6</v>
      </c>
      <c r="R126" s="21">
        <f t="shared" ca="1" si="1"/>
        <v>9320</v>
      </c>
    </row>
    <row r="127" spans="1:18">
      <c r="A127" s="2">
        <v>113</v>
      </c>
      <c r="B127" s="2" t="s">
        <v>18</v>
      </c>
      <c r="C127" s="2" t="s">
        <v>31</v>
      </c>
      <c r="D127" s="2" t="s">
        <v>42</v>
      </c>
      <c r="E127" s="2">
        <v>8</v>
      </c>
      <c r="F127" s="2">
        <v>473</v>
      </c>
      <c r="G127" s="2">
        <v>15</v>
      </c>
      <c r="H127" s="2" t="s">
        <v>35</v>
      </c>
      <c r="I127" s="2">
        <v>2025</v>
      </c>
      <c r="J127" s="2">
        <v>13340</v>
      </c>
      <c r="K127" s="2" t="s">
        <v>22</v>
      </c>
      <c r="L127" s="2" t="s">
        <v>33</v>
      </c>
      <c r="M127" s="2" t="s">
        <v>30</v>
      </c>
      <c r="N127" s="2">
        <v>63</v>
      </c>
      <c r="O127" s="2">
        <v>7</v>
      </c>
      <c r="P127" s="2">
        <v>3784</v>
      </c>
      <c r="Q127" s="2">
        <v>567.6</v>
      </c>
      <c r="R127" s="21">
        <f t="shared" ca="1" si="1"/>
        <v>31206</v>
      </c>
    </row>
    <row r="128" spans="1:18">
      <c r="A128" s="2">
        <v>131</v>
      </c>
      <c r="B128" s="2" t="s">
        <v>34</v>
      </c>
      <c r="C128" s="2" t="s">
        <v>19</v>
      </c>
      <c r="D128" s="2" t="s">
        <v>27</v>
      </c>
      <c r="E128" s="2">
        <v>5</v>
      </c>
      <c r="F128" s="2">
        <v>104</v>
      </c>
      <c r="G128" s="2">
        <v>10</v>
      </c>
      <c r="H128" s="2" t="s">
        <v>21</v>
      </c>
      <c r="I128" s="2">
        <v>2025</v>
      </c>
      <c r="J128" s="2">
        <v>12479</v>
      </c>
      <c r="K128" s="2" t="s">
        <v>22</v>
      </c>
      <c r="L128" s="2" t="s">
        <v>29</v>
      </c>
      <c r="M128" s="2" t="s">
        <v>37</v>
      </c>
      <c r="N128" s="2">
        <v>58</v>
      </c>
      <c r="O128" s="2">
        <v>7</v>
      </c>
      <c r="P128" s="2">
        <v>520</v>
      </c>
      <c r="Q128" s="2">
        <v>52</v>
      </c>
      <c r="R128" s="21">
        <f t="shared" ca="1" si="1"/>
        <v>80348</v>
      </c>
    </row>
    <row r="129" spans="1:18">
      <c r="A129" s="2">
        <v>137</v>
      </c>
      <c r="B129" s="2" t="s">
        <v>34</v>
      </c>
      <c r="C129" s="2" t="s">
        <v>31</v>
      </c>
      <c r="D129" s="2" t="s">
        <v>40</v>
      </c>
      <c r="E129" s="2">
        <v>5</v>
      </c>
      <c r="F129" s="2">
        <v>504</v>
      </c>
      <c r="G129" s="2">
        <v>15</v>
      </c>
      <c r="H129" s="2" t="s">
        <v>28</v>
      </c>
      <c r="I129" s="2">
        <v>2024</v>
      </c>
      <c r="J129" s="2">
        <v>17112</v>
      </c>
      <c r="K129" s="2" t="s">
        <v>22</v>
      </c>
      <c r="L129" s="2" t="s">
        <v>23</v>
      </c>
      <c r="M129" s="2" t="s">
        <v>37</v>
      </c>
      <c r="N129" s="2">
        <v>45</v>
      </c>
      <c r="O129" s="2">
        <v>7</v>
      </c>
      <c r="P129" s="2">
        <v>2520</v>
      </c>
      <c r="Q129" s="2">
        <v>378</v>
      </c>
      <c r="R129" s="21">
        <f t="shared" ca="1" si="1"/>
        <v>30133</v>
      </c>
    </row>
    <row r="130" spans="1:18">
      <c r="A130" s="2">
        <v>18</v>
      </c>
      <c r="B130" s="2" t="s">
        <v>18</v>
      </c>
      <c r="C130" s="2" t="s">
        <v>26</v>
      </c>
      <c r="D130" s="2" t="s">
        <v>27</v>
      </c>
      <c r="E130" s="2">
        <v>7</v>
      </c>
      <c r="F130" s="2">
        <v>184</v>
      </c>
      <c r="G130" s="2">
        <v>10</v>
      </c>
      <c r="H130" s="2" t="s">
        <v>35</v>
      </c>
      <c r="I130" s="2">
        <v>2025</v>
      </c>
      <c r="J130" s="2">
        <v>16382</v>
      </c>
      <c r="K130" s="2" t="s">
        <v>36</v>
      </c>
      <c r="L130" s="2" t="s">
        <v>33</v>
      </c>
      <c r="M130" s="2" t="s">
        <v>24</v>
      </c>
      <c r="N130" s="2">
        <v>42</v>
      </c>
      <c r="O130" s="2">
        <v>5</v>
      </c>
      <c r="P130" s="2">
        <v>1288</v>
      </c>
      <c r="Q130" s="2">
        <v>128.80000000000001</v>
      </c>
      <c r="R130" s="21">
        <f t="shared" ca="1" si="1"/>
        <v>85380</v>
      </c>
    </row>
    <row r="131" spans="1:18">
      <c r="A131" s="2">
        <v>66</v>
      </c>
      <c r="B131" s="2" t="s">
        <v>18</v>
      </c>
      <c r="C131" s="2" t="s">
        <v>39</v>
      </c>
      <c r="D131" s="2" t="s">
        <v>27</v>
      </c>
      <c r="E131" s="2">
        <v>6</v>
      </c>
      <c r="F131" s="2">
        <v>837</v>
      </c>
      <c r="G131" s="2">
        <v>5</v>
      </c>
      <c r="H131" s="2" t="s">
        <v>41</v>
      </c>
      <c r="I131" s="2">
        <v>2023</v>
      </c>
      <c r="J131" s="2">
        <v>11981</v>
      </c>
      <c r="K131" s="2" t="s">
        <v>36</v>
      </c>
      <c r="L131" s="2" t="s">
        <v>23</v>
      </c>
      <c r="M131" s="2" t="s">
        <v>24</v>
      </c>
      <c r="N131" s="2">
        <v>59</v>
      </c>
      <c r="O131" s="2">
        <v>5</v>
      </c>
      <c r="P131" s="2">
        <v>5022</v>
      </c>
      <c r="Q131" s="2">
        <v>251.1</v>
      </c>
      <c r="R131" s="21">
        <f t="shared" ref="R131:R151" ca="1" si="2">RANDBETWEEN(2222,99999)</f>
        <v>67095</v>
      </c>
    </row>
    <row r="132" spans="1:18">
      <c r="A132" s="2">
        <v>79</v>
      </c>
      <c r="B132" s="2" t="s">
        <v>18</v>
      </c>
      <c r="C132" s="2" t="s">
        <v>31</v>
      </c>
      <c r="D132" s="2" t="s">
        <v>40</v>
      </c>
      <c r="E132" s="2">
        <v>7</v>
      </c>
      <c r="F132" s="2">
        <v>580</v>
      </c>
      <c r="G132" s="2">
        <v>10</v>
      </c>
      <c r="H132" s="2" t="s">
        <v>32</v>
      </c>
      <c r="I132" s="2">
        <v>2025</v>
      </c>
      <c r="J132" s="2">
        <v>13041</v>
      </c>
      <c r="K132" s="2" t="s">
        <v>22</v>
      </c>
      <c r="L132" s="2" t="s">
        <v>33</v>
      </c>
      <c r="M132" s="2" t="s">
        <v>24</v>
      </c>
      <c r="N132" s="2">
        <v>12</v>
      </c>
      <c r="O132" s="2">
        <v>5</v>
      </c>
      <c r="P132" s="2">
        <v>4060</v>
      </c>
      <c r="Q132" s="2">
        <v>406</v>
      </c>
      <c r="R132" s="21">
        <f t="shared" ca="1" si="2"/>
        <v>69223</v>
      </c>
    </row>
    <row r="133" spans="1:18">
      <c r="A133" s="2">
        <v>7</v>
      </c>
      <c r="B133" s="2" t="s">
        <v>25</v>
      </c>
      <c r="C133" s="2" t="s">
        <v>39</v>
      </c>
      <c r="D133" s="2" t="s">
        <v>20</v>
      </c>
      <c r="E133" s="2">
        <v>17</v>
      </c>
      <c r="F133" s="2">
        <v>744</v>
      </c>
      <c r="G133" s="2">
        <v>5</v>
      </c>
      <c r="H133" s="2" t="s">
        <v>35</v>
      </c>
      <c r="I133" s="2">
        <v>2024</v>
      </c>
      <c r="J133" s="2">
        <v>6308</v>
      </c>
      <c r="K133" s="2" t="s">
        <v>22</v>
      </c>
      <c r="L133" s="2" t="s">
        <v>23</v>
      </c>
      <c r="M133" s="2" t="s">
        <v>30</v>
      </c>
      <c r="N133" s="2">
        <v>90</v>
      </c>
      <c r="O133" s="2">
        <v>4</v>
      </c>
      <c r="P133" s="2">
        <v>12648</v>
      </c>
      <c r="Q133" s="2">
        <v>632.4</v>
      </c>
      <c r="R133" s="21">
        <f t="shared" ca="1" si="2"/>
        <v>98933</v>
      </c>
    </row>
    <row r="134" spans="1:18">
      <c r="A134" s="2">
        <v>25</v>
      </c>
      <c r="B134" s="2" t="s">
        <v>18</v>
      </c>
      <c r="C134" s="2" t="s">
        <v>19</v>
      </c>
      <c r="D134" s="2" t="s">
        <v>27</v>
      </c>
      <c r="E134" s="2">
        <v>12</v>
      </c>
      <c r="F134" s="2">
        <v>816</v>
      </c>
      <c r="G134" s="2">
        <v>5</v>
      </c>
      <c r="H134" s="2" t="s">
        <v>32</v>
      </c>
      <c r="I134" s="2">
        <v>2023</v>
      </c>
      <c r="J134" s="2">
        <v>19045</v>
      </c>
      <c r="K134" s="2" t="s">
        <v>22</v>
      </c>
      <c r="L134" s="2" t="s">
        <v>29</v>
      </c>
      <c r="M134" s="2" t="s">
        <v>24</v>
      </c>
      <c r="N134" s="2">
        <v>50</v>
      </c>
      <c r="O134" s="2">
        <v>4</v>
      </c>
      <c r="P134" s="2">
        <v>9792</v>
      </c>
      <c r="Q134" s="2">
        <v>489.6</v>
      </c>
      <c r="R134" s="21">
        <f t="shared" ca="1" si="2"/>
        <v>42257</v>
      </c>
    </row>
    <row r="135" spans="1:18">
      <c r="A135" s="2">
        <v>46</v>
      </c>
      <c r="B135" s="2" t="s">
        <v>38</v>
      </c>
      <c r="C135" s="2" t="s">
        <v>26</v>
      </c>
      <c r="D135" s="2" t="s">
        <v>40</v>
      </c>
      <c r="E135" s="2">
        <v>14</v>
      </c>
      <c r="F135" s="2">
        <v>153</v>
      </c>
      <c r="G135" s="2">
        <v>15</v>
      </c>
      <c r="H135" s="2" t="s">
        <v>41</v>
      </c>
      <c r="I135" s="2">
        <v>2025</v>
      </c>
      <c r="J135" s="2">
        <v>7573</v>
      </c>
      <c r="K135" s="2" t="s">
        <v>36</v>
      </c>
      <c r="L135" s="2" t="s">
        <v>29</v>
      </c>
      <c r="M135" s="2" t="s">
        <v>24</v>
      </c>
      <c r="N135" s="2">
        <v>31</v>
      </c>
      <c r="O135" s="2">
        <v>4</v>
      </c>
      <c r="P135" s="2">
        <v>2142</v>
      </c>
      <c r="Q135" s="2">
        <v>321.3</v>
      </c>
      <c r="R135" s="21">
        <f t="shared" ca="1" si="2"/>
        <v>19084</v>
      </c>
    </row>
    <row r="136" spans="1:18">
      <c r="A136" s="2">
        <v>81</v>
      </c>
      <c r="B136" s="2" t="s">
        <v>34</v>
      </c>
      <c r="C136" s="2" t="s">
        <v>19</v>
      </c>
      <c r="D136" s="2" t="s">
        <v>20</v>
      </c>
      <c r="E136" s="2">
        <v>3</v>
      </c>
      <c r="F136" s="2">
        <v>641</v>
      </c>
      <c r="G136" s="2">
        <v>10</v>
      </c>
      <c r="H136" s="2" t="s">
        <v>28</v>
      </c>
      <c r="I136" s="2">
        <v>2024</v>
      </c>
      <c r="J136" s="2">
        <v>17244</v>
      </c>
      <c r="K136" s="2" t="s">
        <v>36</v>
      </c>
      <c r="L136" s="2" t="s">
        <v>23</v>
      </c>
      <c r="M136" s="2" t="s">
        <v>24</v>
      </c>
      <c r="N136" s="2">
        <v>69</v>
      </c>
      <c r="O136" s="2">
        <v>4</v>
      </c>
      <c r="P136" s="2">
        <v>1923</v>
      </c>
      <c r="Q136" s="2">
        <v>192.3</v>
      </c>
      <c r="R136" s="21">
        <f t="shared" ca="1" si="2"/>
        <v>77961</v>
      </c>
    </row>
    <row r="137" spans="1:18">
      <c r="A137" s="2">
        <v>117</v>
      </c>
      <c r="B137" s="2" t="s">
        <v>34</v>
      </c>
      <c r="C137" s="2" t="s">
        <v>39</v>
      </c>
      <c r="D137" s="2" t="s">
        <v>40</v>
      </c>
      <c r="E137" s="2">
        <v>5</v>
      </c>
      <c r="F137" s="2">
        <v>999</v>
      </c>
      <c r="G137" s="2">
        <v>5</v>
      </c>
      <c r="H137" s="2" t="s">
        <v>28</v>
      </c>
      <c r="I137" s="2">
        <v>2023</v>
      </c>
      <c r="J137" s="2">
        <v>12679</v>
      </c>
      <c r="K137" s="2" t="s">
        <v>36</v>
      </c>
      <c r="L137" s="2" t="s">
        <v>29</v>
      </c>
      <c r="M137" s="2" t="s">
        <v>24</v>
      </c>
      <c r="N137" s="2">
        <v>85</v>
      </c>
      <c r="O137" s="2">
        <v>4</v>
      </c>
      <c r="P137" s="2">
        <v>4995</v>
      </c>
      <c r="Q137" s="2">
        <v>249.75</v>
      </c>
      <c r="R137" s="21">
        <f t="shared" ca="1" si="2"/>
        <v>3234</v>
      </c>
    </row>
    <row r="138" spans="1:18">
      <c r="A138" s="2">
        <v>148</v>
      </c>
      <c r="B138" s="2" t="s">
        <v>38</v>
      </c>
      <c r="C138" s="2" t="s">
        <v>19</v>
      </c>
      <c r="D138" s="2" t="s">
        <v>42</v>
      </c>
      <c r="E138" s="2">
        <v>9</v>
      </c>
      <c r="F138" s="2">
        <v>912</v>
      </c>
      <c r="G138" s="2">
        <v>5</v>
      </c>
      <c r="H138" s="2" t="s">
        <v>41</v>
      </c>
      <c r="I138" s="2">
        <v>2025</v>
      </c>
      <c r="J138" s="2">
        <v>7343</v>
      </c>
      <c r="K138" s="2" t="s">
        <v>36</v>
      </c>
      <c r="L138" s="2" t="s">
        <v>23</v>
      </c>
      <c r="M138" s="2" t="s">
        <v>30</v>
      </c>
      <c r="N138" s="2">
        <v>35</v>
      </c>
      <c r="O138" s="2">
        <v>4</v>
      </c>
      <c r="P138" s="2">
        <v>8208</v>
      </c>
      <c r="Q138" s="2">
        <v>410.4</v>
      </c>
      <c r="R138" s="21">
        <f t="shared" ca="1" si="2"/>
        <v>26532</v>
      </c>
    </row>
    <row r="139" spans="1:18">
      <c r="A139" s="2">
        <v>140</v>
      </c>
      <c r="B139" s="2" t="s">
        <v>18</v>
      </c>
      <c r="C139" s="2" t="s">
        <v>26</v>
      </c>
      <c r="D139" s="2" t="s">
        <v>27</v>
      </c>
      <c r="E139" s="2">
        <v>18</v>
      </c>
      <c r="F139" s="2">
        <v>744</v>
      </c>
      <c r="G139" s="2">
        <v>5</v>
      </c>
      <c r="H139" s="2" t="s">
        <v>35</v>
      </c>
      <c r="I139" s="2">
        <v>2024</v>
      </c>
      <c r="J139" s="2">
        <v>17652</v>
      </c>
      <c r="K139" s="2" t="s">
        <v>36</v>
      </c>
      <c r="L139" s="2" t="s">
        <v>23</v>
      </c>
      <c r="M139" s="2" t="s">
        <v>30</v>
      </c>
      <c r="N139" s="2">
        <v>51</v>
      </c>
      <c r="O139" s="2">
        <v>3</v>
      </c>
      <c r="P139" s="2">
        <v>13392</v>
      </c>
      <c r="Q139" s="2">
        <v>669.6</v>
      </c>
      <c r="R139" s="21">
        <f t="shared" ca="1" si="2"/>
        <v>55020</v>
      </c>
    </row>
    <row r="140" spans="1:18">
      <c r="A140" s="2">
        <v>36</v>
      </c>
      <c r="B140" s="2" t="s">
        <v>18</v>
      </c>
      <c r="C140" s="2" t="s">
        <v>19</v>
      </c>
      <c r="D140" s="2" t="s">
        <v>42</v>
      </c>
      <c r="E140" s="2">
        <v>11</v>
      </c>
      <c r="F140" s="2">
        <v>650</v>
      </c>
      <c r="G140" s="2">
        <v>10</v>
      </c>
      <c r="H140" s="2" t="s">
        <v>41</v>
      </c>
      <c r="I140" s="2">
        <v>2024</v>
      </c>
      <c r="J140" s="2">
        <v>15953</v>
      </c>
      <c r="K140" s="2" t="s">
        <v>22</v>
      </c>
      <c r="L140" s="2" t="s">
        <v>23</v>
      </c>
      <c r="M140" s="2" t="s">
        <v>24</v>
      </c>
      <c r="N140" s="2">
        <v>83</v>
      </c>
      <c r="O140" s="2">
        <v>2</v>
      </c>
      <c r="P140" s="2">
        <v>7150</v>
      </c>
      <c r="Q140" s="2">
        <v>715</v>
      </c>
      <c r="R140" s="21">
        <f t="shared" ca="1" si="2"/>
        <v>66696</v>
      </c>
    </row>
    <row r="141" spans="1:18">
      <c r="A141" s="2">
        <v>5</v>
      </c>
      <c r="B141" s="2" t="s">
        <v>38</v>
      </c>
      <c r="C141" s="2" t="s">
        <v>39</v>
      </c>
      <c r="D141" s="2" t="s">
        <v>20</v>
      </c>
      <c r="E141" s="2">
        <v>9</v>
      </c>
      <c r="F141" s="2">
        <v>808</v>
      </c>
      <c r="G141" s="2">
        <v>10</v>
      </c>
      <c r="H141" s="2" t="s">
        <v>32</v>
      </c>
      <c r="I141" s="2">
        <v>2025</v>
      </c>
      <c r="J141" s="2">
        <v>14106</v>
      </c>
      <c r="K141" s="2" t="s">
        <v>36</v>
      </c>
      <c r="L141" s="2" t="s">
        <v>29</v>
      </c>
      <c r="M141" s="2" t="s">
        <v>37</v>
      </c>
      <c r="N141" s="2">
        <v>73</v>
      </c>
      <c r="O141" s="2">
        <v>1</v>
      </c>
      <c r="P141" s="2">
        <v>7272</v>
      </c>
      <c r="Q141" s="2">
        <v>727.2</v>
      </c>
      <c r="R141" s="21">
        <f t="shared" ca="1" si="2"/>
        <v>71447</v>
      </c>
    </row>
    <row r="142" spans="1:18">
      <c r="A142" s="2">
        <v>16</v>
      </c>
      <c r="B142" s="2" t="s">
        <v>18</v>
      </c>
      <c r="C142" s="2" t="s">
        <v>39</v>
      </c>
      <c r="D142" s="2" t="s">
        <v>27</v>
      </c>
      <c r="E142" s="2">
        <v>12</v>
      </c>
      <c r="F142" s="2">
        <v>182</v>
      </c>
      <c r="G142" s="2">
        <v>15</v>
      </c>
      <c r="H142" s="2" t="s">
        <v>32</v>
      </c>
      <c r="I142" s="2">
        <v>2025</v>
      </c>
      <c r="J142" s="2">
        <v>17994</v>
      </c>
      <c r="K142" s="2" t="s">
        <v>36</v>
      </c>
      <c r="L142" s="2" t="s">
        <v>33</v>
      </c>
      <c r="M142" s="2" t="s">
        <v>30</v>
      </c>
      <c r="N142" s="2">
        <v>54</v>
      </c>
      <c r="O142" s="2">
        <v>1</v>
      </c>
      <c r="P142" s="2">
        <v>2184</v>
      </c>
      <c r="Q142" s="2">
        <v>327.60000000000002</v>
      </c>
      <c r="R142" s="21">
        <f t="shared" ca="1" si="2"/>
        <v>52293</v>
      </c>
    </row>
    <row r="143" spans="1:18">
      <c r="A143" s="2">
        <v>22</v>
      </c>
      <c r="B143" s="2" t="s">
        <v>34</v>
      </c>
      <c r="C143" s="2" t="s">
        <v>19</v>
      </c>
      <c r="D143" s="2" t="s">
        <v>20</v>
      </c>
      <c r="E143" s="2">
        <v>16</v>
      </c>
      <c r="F143" s="2">
        <v>100</v>
      </c>
      <c r="G143" s="2">
        <v>10</v>
      </c>
      <c r="H143" s="2" t="s">
        <v>41</v>
      </c>
      <c r="I143" s="2">
        <v>2025</v>
      </c>
      <c r="J143" s="2">
        <v>5804</v>
      </c>
      <c r="K143" s="2" t="s">
        <v>22</v>
      </c>
      <c r="L143" s="2" t="s">
        <v>29</v>
      </c>
      <c r="M143" s="2" t="s">
        <v>30</v>
      </c>
      <c r="N143" s="2">
        <v>95</v>
      </c>
      <c r="O143" s="2">
        <v>1</v>
      </c>
      <c r="P143" s="2">
        <v>1600</v>
      </c>
      <c r="Q143" s="2">
        <v>160</v>
      </c>
      <c r="R143" s="21">
        <f t="shared" ca="1" si="2"/>
        <v>23148</v>
      </c>
    </row>
    <row r="144" spans="1:18">
      <c r="A144" s="2">
        <v>71</v>
      </c>
      <c r="B144" s="2" t="s">
        <v>34</v>
      </c>
      <c r="C144" s="2" t="s">
        <v>31</v>
      </c>
      <c r="D144" s="2" t="s">
        <v>27</v>
      </c>
      <c r="E144" s="2">
        <v>19</v>
      </c>
      <c r="F144" s="2">
        <v>897</v>
      </c>
      <c r="G144" s="2">
        <v>15</v>
      </c>
      <c r="H144" s="2" t="s">
        <v>28</v>
      </c>
      <c r="I144" s="2">
        <v>2023</v>
      </c>
      <c r="J144" s="2">
        <v>13232</v>
      </c>
      <c r="K144" s="2" t="s">
        <v>22</v>
      </c>
      <c r="L144" s="2" t="s">
        <v>33</v>
      </c>
      <c r="M144" s="2" t="s">
        <v>37</v>
      </c>
      <c r="N144" s="2">
        <v>84</v>
      </c>
      <c r="O144" s="2">
        <v>1</v>
      </c>
      <c r="P144" s="2">
        <v>17043</v>
      </c>
      <c r="Q144" s="2">
        <v>2556.4499999999998</v>
      </c>
      <c r="R144" s="21">
        <f t="shared" ca="1" si="2"/>
        <v>69310</v>
      </c>
    </row>
    <row r="145" spans="1:18">
      <c r="A145" s="2">
        <v>26</v>
      </c>
      <c r="B145" s="2" t="s">
        <v>38</v>
      </c>
      <c r="C145" s="2" t="s">
        <v>39</v>
      </c>
      <c r="D145" s="2" t="s">
        <v>20</v>
      </c>
      <c r="E145" s="2">
        <v>4</v>
      </c>
      <c r="F145" s="2">
        <v>871</v>
      </c>
      <c r="G145" s="2">
        <v>5</v>
      </c>
      <c r="H145" s="2" t="s">
        <v>21</v>
      </c>
      <c r="I145" s="2">
        <v>2024</v>
      </c>
      <c r="J145" s="2">
        <v>18192</v>
      </c>
      <c r="K145" s="2" t="s">
        <v>22</v>
      </c>
      <c r="L145" s="2" t="s">
        <v>23</v>
      </c>
      <c r="M145" s="2" t="s">
        <v>24</v>
      </c>
      <c r="N145" s="2">
        <v>26</v>
      </c>
      <c r="O145" s="2">
        <v>0</v>
      </c>
      <c r="P145" s="2">
        <v>3484</v>
      </c>
      <c r="Q145" s="2">
        <v>174.2</v>
      </c>
      <c r="R145" s="21">
        <f t="shared" ca="1" si="2"/>
        <v>54791</v>
      </c>
    </row>
    <row r="146" spans="1:18">
      <c r="A146" s="2">
        <v>45</v>
      </c>
      <c r="B146" s="2" t="s">
        <v>18</v>
      </c>
      <c r="C146" s="2" t="s">
        <v>31</v>
      </c>
      <c r="D146" s="2" t="s">
        <v>20</v>
      </c>
      <c r="E146" s="2">
        <v>7</v>
      </c>
      <c r="F146" s="2">
        <v>367</v>
      </c>
      <c r="G146" s="2">
        <v>10</v>
      </c>
      <c r="H146" s="2" t="s">
        <v>28</v>
      </c>
      <c r="I146" s="2">
        <v>2025</v>
      </c>
      <c r="J146" s="2">
        <v>16472</v>
      </c>
      <c r="K146" s="2" t="s">
        <v>36</v>
      </c>
      <c r="L146" s="2" t="s">
        <v>23</v>
      </c>
      <c r="M146" s="2" t="s">
        <v>37</v>
      </c>
      <c r="N146" s="2">
        <v>35</v>
      </c>
      <c r="O146" s="2">
        <v>0</v>
      </c>
      <c r="P146" s="2">
        <v>2569</v>
      </c>
      <c r="Q146" s="2">
        <v>256.89999999999998</v>
      </c>
      <c r="R146" s="21">
        <f t="shared" ca="1" si="2"/>
        <v>39205</v>
      </c>
    </row>
    <row r="147" spans="1:18">
      <c r="A147" s="2">
        <v>51</v>
      </c>
      <c r="B147" s="2" t="s">
        <v>18</v>
      </c>
      <c r="C147" s="2" t="s">
        <v>19</v>
      </c>
      <c r="D147" s="2" t="s">
        <v>27</v>
      </c>
      <c r="E147" s="2">
        <v>18</v>
      </c>
      <c r="F147" s="2">
        <v>924</v>
      </c>
      <c r="G147" s="2">
        <v>10</v>
      </c>
      <c r="H147" s="2" t="s">
        <v>41</v>
      </c>
      <c r="I147" s="2">
        <v>2024</v>
      </c>
      <c r="J147" s="2">
        <v>6304</v>
      </c>
      <c r="K147" s="2" t="s">
        <v>22</v>
      </c>
      <c r="L147" s="2" t="s">
        <v>29</v>
      </c>
      <c r="M147" s="2" t="s">
        <v>24</v>
      </c>
      <c r="N147" s="2">
        <v>24</v>
      </c>
      <c r="O147" s="2">
        <v>0</v>
      </c>
      <c r="P147" s="2">
        <v>16632</v>
      </c>
      <c r="Q147" s="2">
        <v>1663.2</v>
      </c>
      <c r="R147" s="21">
        <f t="shared" ca="1" si="2"/>
        <v>16687</v>
      </c>
    </row>
    <row r="148" spans="1:18">
      <c r="A148" s="2">
        <v>77</v>
      </c>
      <c r="B148" s="2" t="s">
        <v>34</v>
      </c>
      <c r="C148" s="2" t="s">
        <v>31</v>
      </c>
      <c r="D148" s="2" t="s">
        <v>27</v>
      </c>
      <c r="E148" s="2">
        <v>8</v>
      </c>
      <c r="F148" s="2">
        <v>348</v>
      </c>
      <c r="G148" s="2">
        <v>0</v>
      </c>
      <c r="H148" s="2" t="s">
        <v>41</v>
      </c>
      <c r="I148" s="2">
        <v>2025</v>
      </c>
      <c r="J148" s="2">
        <v>17875</v>
      </c>
      <c r="K148" s="2" t="s">
        <v>36</v>
      </c>
      <c r="L148" s="2" t="s">
        <v>33</v>
      </c>
      <c r="M148" s="2" t="s">
        <v>30</v>
      </c>
      <c r="N148" s="2">
        <v>31</v>
      </c>
      <c r="O148" s="2">
        <v>0</v>
      </c>
      <c r="P148" s="2">
        <v>2784</v>
      </c>
      <c r="Q148" s="2">
        <v>0</v>
      </c>
      <c r="R148" s="21">
        <f t="shared" ca="1" si="2"/>
        <v>4003</v>
      </c>
    </row>
    <row r="149" spans="1:18">
      <c r="A149" s="2">
        <v>112</v>
      </c>
      <c r="B149" s="2" t="s">
        <v>34</v>
      </c>
      <c r="C149" s="2" t="s">
        <v>31</v>
      </c>
      <c r="D149" s="2" t="s">
        <v>42</v>
      </c>
      <c r="E149" s="2">
        <v>12</v>
      </c>
      <c r="F149" s="2">
        <v>194</v>
      </c>
      <c r="G149" s="2">
        <v>15</v>
      </c>
      <c r="H149" s="2" t="s">
        <v>35</v>
      </c>
      <c r="I149" s="2">
        <v>2023</v>
      </c>
      <c r="J149" s="2">
        <v>9124</v>
      </c>
      <c r="K149" s="2" t="s">
        <v>36</v>
      </c>
      <c r="L149" s="2" t="s">
        <v>29</v>
      </c>
      <c r="M149" s="2" t="s">
        <v>37</v>
      </c>
      <c r="N149" s="2">
        <v>70</v>
      </c>
      <c r="O149" s="2">
        <v>0</v>
      </c>
      <c r="P149" s="2">
        <v>2328</v>
      </c>
      <c r="Q149" s="2">
        <v>349.2</v>
      </c>
      <c r="R149" s="21">
        <f t="shared" ca="1" si="2"/>
        <v>84664</v>
      </c>
    </row>
    <row r="150" spans="1:18">
      <c r="A150" s="2">
        <v>122</v>
      </c>
      <c r="B150" s="2" t="s">
        <v>25</v>
      </c>
      <c r="C150" s="2" t="s">
        <v>19</v>
      </c>
      <c r="D150" s="2" t="s">
        <v>20</v>
      </c>
      <c r="E150" s="2">
        <v>1</v>
      </c>
      <c r="F150" s="2">
        <v>294</v>
      </c>
      <c r="G150" s="2">
        <v>0</v>
      </c>
      <c r="H150" s="2" t="s">
        <v>28</v>
      </c>
      <c r="I150" s="2">
        <v>2025</v>
      </c>
      <c r="J150" s="2">
        <v>14442</v>
      </c>
      <c r="K150" s="2" t="s">
        <v>36</v>
      </c>
      <c r="L150" s="2" t="s">
        <v>29</v>
      </c>
      <c r="M150" s="2" t="s">
        <v>24</v>
      </c>
      <c r="N150" s="2">
        <v>70</v>
      </c>
      <c r="O150" s="2">
        <v>0</v>
      </c>
      <c r="P150" s="2">
        <v>294</v>
      </c>
      <c r="Q150" s="2">
        <v>0</v>
      </c>
      <c r="R150" s="21">
        <f t="shared" ca="1" si="2"/>
        <v>83359</v>
      </c>
    </row>
    <row r="151" spans="1:18">
      <c r="A151" s="2">
        <v>142</v>
      </c>
      <c r="B151" s="2" t="s">
        <v>34</v>
      </c>
      <c r="C151" s="2" t="s">
        <v>19</v>
      </c>
      <c r="D151" s="2" t="s">
        <v>42</v>
      </c>
      <c r="E151" s="2">
        <v>17</v>
      </c>
      <c r="F151" s="2">
        <v>623</v>
      </c>
      <c r="G151" s="2">
        <v>5</v>
      </c>
      <c r="H151" s="2" t="s">
        <v>32</v>
      </c>
      <c r="I151" s="2">
        <v>2024</v>
      </c>
      <c r="J151" s="2">
        <v>5481</v>
      </c>
      <c r="K151" s="2" t="s">
        <v>22</v>
      </c>
      <c r="L151" s="2" t="s">
        <v>29</v>
      </c>
      <c r="M151" s="2" t="s">
        <v>24</v>
      </c>
      <c r="N151" s="2">
        <v>21</v>
      </c>
      <c r="O151" s="2">
        <v>0</v>
      </c>
      <c r="P151" s="2">
        <v>10591</v>
      </c>
      <c r="Q151" s="2">
        <v>529.54999999999995</v>
      </c>
      <c r="R151" s="21">
        <f t="shared" ca="1" si="2"/>
        <v>90941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"/>
  <sheetViews>
    <sheetView showGridLines="0" workbookViewId="0">
      <selection activeCell="A4" sqref="A4:F10"/>
    </sheetView>
  </sheetViews>
  <sheetFormatPr baseColWidth="10" defaultRowHeight="14.25" outlineLevelCol="1"/>
  <cols>
    <col min="1" max="1" width="19.125" bestFit="1" customWidth="1"/>
    <col min="2" max="2" width="22" bestFit="1" customWidth="1"/>
    <col min="3" max="6" width="14.125" customWidth="1"/>
    <col min="12" max="19" width="0" hidden="1" customWidth="1" outlineLevel="1"/>
    <col min="20" max="20" width="10.625" collapsed="1"/>
  </cols>
  <sheetData>
    <row r="1" spans="1:11" ht="18">
      <c r="H1" s="22" t="s">
        <v>47</v>
      </c>
      <c r="I1" s="22"/>
      <c r="J1" s="22"/>
      <c r="K1" s="22"/>
    </row>
    <row r="3" spans="1:11">
      <c r="A3" s="6" t="s">
        <v>46</v>
      </c>
      <c r="B3" s="6" t="s">
        <v>45</v>
      </c>
    </row>
    <row r="4" spans="1:11">
      <c r="A4" s="6" t="s">
        <v>1</v>
      </c>
      <c r="B4" t="s">
        <v>31</v>
      </c>
      <c r="C4" t="s">
        <v>26</v>
      </c>
      <c r="D4" t="s">
        <v>39</v>
      </c>
      <c r="E4" t="s">
        <v>19</v>
      </c>
      <c r="F4" t="s">
        <v>44</v>
      </c>
    </row>
    <row r="5" spans="1:11">
      <c r="A5" s="7" t="s">
        <v>18</v>
      </c>
      <c r="B5" s="8">
        <v>476429</v>
      </c>
      <c r="C5" s="8">
        <v>472788</v>
      </c>
      <c r="D5" s="8">
        <v>555253</v>
      </c>
      <c r="E5" s="8">
        <v>570724</v>
      </c>
      <c r="F5" s="8">
        <v>2075194</v>
      </c>
    </row>
    <row r="6" spans="1:11">
      <c r="A6" s="7" t="s">
        <v>25</v>
      </c>
      <c r="B6" s="8">
        <v>569488</v>
      </c>
      <c r="C6" s="8">
        <v>229054</v>
      </c>
      <c r="D6" s="8">
        <v>623053</v>
      </c>
      <c r="E6" s="8">
        <v>444322</v>
      </c>
      <c r="F6" s="8">
        <v>1865917</v>
      </c>
    </row>
    <row r="7" spans="1:11">
      <c r="A7" s="7" t="s">
        <v>34</v>
      </c>
      <c r="B7" s="8">
        <v>628445</v>
      </c>
      <c r="C7" s="8">
        <v>331896</v>
      </c>
      <c r="D7" s="8">
        <v>368945</v>
      </c>
      <c r="E7" s="8">
        <v>512902</v>
      </c>
      <c r="F7" s="8">
        <v>1842188</v>
      </c>
    </row>
    <row r="8" spans="1:11">
      <c r="A8" s="7" t="s">
        <v>38</v>
      </c>
      <c r="B8" s="8">
        <v>92131</v>
      </c>
      <c r="C8" s="8">
        <v>353072</v>
      </c>
      <c r="D8" s="8">
        <v>291521</v>
      </c>
      <c r="E8" s="8">
        <v>566903</v>
      </c>
      <c r="F8" s="8">
        <v>1303627</v>
      </c>
    </row>
    <row r="9" spans="1:11">
      <c r="A9" s="7" t="s">
        <v>43</v>
      </c>
      <c r="B9" s="8">
        <v>237533</v>
      </c>
      <c r="C9" s="8">
        <v>292396</v>
      </c>
      <c r="D9" s="8">
        <v>301897</v>
      </c>
      <c r="E9" s="8">
        <v>328577</v>
      </c>
      <c r="F9" s="8">
        <v>1160403</v>
      </c>
    </row>
    <row r="10" spans="1:11">
      <c r="A10" s="7" t="s">
        <v>44</v>
      </c>
      <c r="B10" s="8">
        <v>2004026</v>
      </c>
      <c r="C10" s="8">
        <v>1679206</v>
      </c>
      <c r="D10" s="8">
        <v>2140669</v>
      </c>
      <c r="E10" s="8">
        <v>2423428</v>
      </c>
      <c r="F10" s="8">
        <v>8247329</v>
      </c>
    </row>
  </sheetData>
  <mergeCells count="1">
    <mergeCell ref="H1:K1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"/>
  <sheetViews>
    <sheetView showGridLines="0" workbookViewId="0">
      <selection activeCell="N24" sqref="N24:O24"/>
    </sheetView>
  </sheetViews>
  <sheetFormatPr baseColWidth="10" defaultRowHeight="14.25"/>
  <cols>
    <col min="1" max="1" width="16.875" bestFit="1" customWidth="1"/>
    <col min="2" max="2" width="20.125" bestFit="1" customWidth="1"/>
    <col min="3" max="6" width="13.875" bestFit="1" customWidth="1"/>
    <col min="12" max="19" width="10.625" customWidth="1"/>
  </cols>
  <sheetData>
    <row r="1" spans="2:11" ht="18">
      <c r="B1" s="22" t="s">
        <v>57</v>
      </c>
      <c r="C1" s="22"/>
      <c r="D1" s="22"/>
      <c r="E1" s="22"/>
      <c r="F1" s="22"/>
      <c r="G1" s="22"/>
      <c r="H1" s="22"/>
      <c r="I1" s="22"/>
      <c r="J1" s="22"/>
      <c r="K1" s="22"/>
    </row>
  </sheetData>
  <mergeCells count="1">
    <mergeCell ref="B1:K1"/>
  </mergeCells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showGridLines="0" workbookViewId="0">
      <selection activeCell="N25" sqref="N25"/>
    </sheetView>
  </sheetViews>
  <sheetFormatPr baseColWidth="10" defaultRowHeight="14.25"/>
  <cols>
    <col min="1" max="1" width="11" bestFit="1" customWidth="1"/>
    <col min="2" max="6" width="13.875" bestFit="1" customWidth="1"/>
  </cols>
  <sheetData>
    <row r="1" spans="1:11" ht="15.75">
      <c r="H1" s="23" t="s">
        <v>48</v>
      </c>
      <c r="I1" s="23"/>
      <c r="J1" s="23"/>
      <c r="K1" s="23"/>
    </row>
    <row r="2" spans="1:11" ht="15.75">
      <c r="H2" s="23" t="s">
        <v>49</v>
      </c>
      <c r="I2" s="23"/>
      <c r="J2" s="23"/>
      <c r="K2" s="23"/>
    </row>
    <row r="4" spans="1:11" ht="15">
      <c r="A4" s="9"/>
      <c r="B4" s="9"/>
      <c r="C4" s="9"/>
      <c r="D4" s="9"/>
      <c r="E4" s="9"/>
      <c r="F4" s="9"/>
    </row>
    <row r="5" spans="1:11">
      <c r="A5" s="7"/>
      <c r="B5" s="8"/>
      <c r="C5" s="8"/>
      <c r="D5" s="8"/>
      <c r="E5" s="8"/>
      <c r="F5" s="8"/>
    </row>
    <row r="6" spans="1:11">
      <c r="A6" s="7"/>
      <c r="B6" s="8"/>
      <c r="C6" s="8"/>
      <c r="D6" s="8"/>
      <c r="E6" s="8"/>
      <c r="F6" s="8"/>
    </row>
    <row r="7" spans="1:11">
      <c r="A7" s="7"/>
      <c r="B7" s="8"/>
      <c r="C7" s="8"/>
      <c r="D7" s="8"/>
      <c r="E7" s="8"/>
      <c r="F7" s="8"/>
    </row>
    <row r="8" spans="1:11">
      <c r="A8" s="7"/>
      <c r="B8" s="8"/>
      <c r="C8" s="8"/>
      <c r="D8" s="8"/>
      <c r="E8" s="8"/>
      <c r="F8" s="8"/>
    </row>
    <row r="9" spans="1:11">
      <c r="A9" s="7"/>
      <c r="B9" s="8"/>
      <c r="C9" s="8"/>
      <c r="D9" s="8"/>
      <c r="E9" s="8"/>
      <c r="F9" s="8"/>
    </row>
    <row r="10" spans="1:11" ht="15">
      <c r="A10" s="10"/>
      <c r="B10" s="11"/>
      <c r="C10" s="11"/>
      <c r="D10" s="11"/>
      <c r="E10" s="11"/>
      <c r="F10" s="11"/>
    </row>
  </sheetData>
  <mergeCells count="2">
    <mergeCell ref="H1:K1"/>
    <mergeCell ref="H2:K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10"/>
  <sheetViews>
    <sheetView showGridLines="0" zoomScale="110" zoomScaleNormal="110" workbookViewId="0">
      <selection activeCell="K18" sqref="K18"/>
    </sheetView>
  </sheetViews>
  <sheetFormatPr baseColWidth="10" defaultRowHeight="14.25"/>
  <cols>
    <col min="4" max="4" width="20.75" bestFit="1" customWidth="1"/>
    <col min="12" max="12" width="11.625" customWidth="1"/>
  </cols>
  <sheetData>
    <row r="1" spans="3:12" ht="15">
      <c r="I1" s="24" t="s">
        <v>50</v>
      </c>
      <c r="J1" s="24"/>
      <c r="K1" s="24"/>
      <c r="L1" s="24"/>
    </row>
    <row r="3" spans="3:12" ht="15" thickBot="1"/>
    <row r="4" spans="3:12" ht="15" thickBot="1">
      <c r="C4" s="13"/>
      <c r="D4" s="14"/>
      <c r="E4" s="14"/>
      <c r="F4" s="14"/>
      <c r="G4" s="15"/>
    </row>
    <row r="5" spans="3:12" ht="15" thickBot="1">
      <c r="C5" s="16"/>
      <c r="D5" s="12" t="s">
        <v>54</v>
      </c>
      <c r="E5" s="4"/>
      <c r="F5" s="12"/>
      <c r="G5" s="17"/>
    </row>
    <row r="6" spans="3:12" ht="15" thickBot="1">
      <c r="C6" s="16"/>
      <c r="D6" s="4"/>
      <c r="E6" s="4"/>
      <c r="F6" s="4"/>
      <c r="G6" s="17"/>
    </row>
    <row r="7" spans="3:12" ht="15" thickBot="1">
      <c r="C7" s="16"/>
      <c r="D7" s="12" t="s">
        <v>55</v>
      </c>
      <c r="E7" s="4"/>
      <c r="F7" s="12"/>
      <c r="G7" s="17"/>
    </row>
    <row r="8" spans="3:12" ht="15" thickBot="1">
      <c r="C8" s="16"/>
      <c r="D8" s="4"/>
      <c r="E8" s="4"/>
      <c r="F8" s="4"/>
      <c r="G8" s="17"/>
    </row>
    <row r="9" spans="3:12" ht="15" thickBot="1">
      <c r="C9" s="16"/>
      <c r="D9" s="12" t="s">
        <v>56</v>
      </c>
      <c r="E9" s="4"/>
      <c r="F9" s="12"/>
      <c r="G9" s="17"/>
    </row>
    <row r="10" spans="3:12" ht="15" thickBot="1">
      <c r="C10" s="18"/>
      <c r="D10" s="19"/>
      <c r="E10" s="19"/>
      <c r="F10" s="19"/>
      <c r="G10" s="20"/>
    </row>
  </sheetData>
  <mergeCells count="1">
    <mergeCell ref="I1:L1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showGridLines="0" workbookViewId="0">
      <selection activeCell="B9" sqref="B9"/>
    </sheetView>
  </sheetViews>
  <sheetFormatPr baseColWidth="10" defaultColWidth="19.75" defaultRowHeight="14.25"/>
  <sheetData>
    <row r="1" spans="1:3" ht="15" thickBot="1">
      <c r="A1" s="12" t="s">
        <v>51</v>
      </c>
      <c r="B1" s="12" t="s">
        <v>52</v>
      </c>
      <c r="C1" s="12" t="s">
        <v>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1:J1"/>
  <sheetViews>
    <sheetView showGridLines="0" workbookViewId="0">
      <selection activeCell="O18" sqref="O18"/>
    </sheetView>
  </sheetViews>
  <sheetFormatPr baseColWidth="10" defaultRowHeight="14.25"/>
  <sheetData>
    <row r="1" spans="7:10" ht="15">
      <c r="G1" s="24" t="s">
        <v>58</v>
      </c>
      <c r="H1" s="24"/>
      <c r="I1" s="24"/>
      <c r="J1" s="24"/>
    </row>
  </sheetData>
  <mergeCells count="1">
    <mergeCell ref="G1:J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M13" sqref="M13"/>
    </sheetView>
  </sheetViews>
  <sheetFormatPr baseColWidth="10" defaultRowHeight="14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6E4A65-844D-4099-961D-7FA9F3FF46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Que es</vt:lpstr>
      <vt:lpstr>En que la aplico</vt:lpstr>
      <vt:lpstr>Cinta programador</vt:lpstr>
      <vt:lpstr>Habilitar Macros</vt:lpstr>
      <vt:lpstr>BASE</vt:lpstr>
      <vt:lpstr>Macro simple(Una accion por mac</vt:lpstr>
      <vt:lpstr>Macro Limpiar Segmentadores</vt:lpstr>
      <vt:lpstr>Macro Copiar y Borrar</vt:lpstr>
      <vt:lpstr>Macro Para formulario</vt:lpstr>
      <vt:lpstr>Base del formulario</vt:lpstr>
      <vt:lpstr>Macro referencias relativas</vt:lpstr>
      <vt:lpstr>Guardar el archivo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Calarco</dc:creator>
  <cp:lastModifiedBy>Hernan Vladimirsky</cp:lastModifiedBy>
  <dcterms:created xsi:type="dcterms:W3CDTF">2025-06-28T21:53:25Z</dcterms:created>
  <dcterms:modified xsi:type="dcterms:W3CDTF">2026-09-17T00:48:12Z</dcterms:modified>
</cp:coreProperties>
</file>