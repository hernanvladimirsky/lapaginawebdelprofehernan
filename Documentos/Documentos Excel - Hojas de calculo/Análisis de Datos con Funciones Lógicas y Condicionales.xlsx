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rna\Downloads\"/>
    </mc:Choice>
  </mc:AlternateContent>
  <bookViews>
    <workbookView xWindow="0" yWindow="0" windowWidth="15360" windowHeight="7035" activeTab="1"/>
  </bookViews>
  <sheets>
    <sheet name="BASE" sheetId="10" r:id="rId1"/>
    <sheet name="CONTAR.SI" sheetId="2" r:id="rId2"/>
    <sheet name="SUMAR.SI" sheetId="11" r:id="rId3"/>
    <sheet name="PROMEDIO SI " sheetId="1" r:id="rId4"/>
    <sheet name="CONTAR.SI.CONJUNTO" sheetId="12" r:id="rId5"/>
    <sheet name="SUMAR SI CONJUNTO " sheetId="3" r:id="rId6"/>
    <sheet name="PROMEDIO.SI.CONJUNTO" sheetId="4" r:id="rId7"/>
    <sheet name="Promedio.si.conjunto2" sheetId="24" r:id="rId8"/>
    <sheet name="MAX.SI.CONJUNTO" sheetId="13" r:id="rId9"/>
    <sheet name="MIN.SI.CONJUNTO" sheetId="15" r:id="rId10"/>
    <sheet name="FUNCION XO" sheetId="25" state="hidden" r:id="rId11"/>
    <sheet name="Funcion NO con Y" sheetId="28" state="hidden" r:id="rId12"/>
  </sheets>
  <definedNames>
    <definedName name="_xlnm._FilterDatabase" localSheetId="3" hidden="1">'PROMEDIO SI '!$B$11:$C$11</definedName>
    <definedName name="Cantidad">#REF!</definedName>
    <definedName name="Mes">#REF!</definedName>
    <definedName name="Sales">#REF!</definedName>
    <definedName name="Tipo">#REF!</definedName>
    <definedName name="Vendedor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8" l="1"/>
  <c r="C6" i="28"/>
  <c r="B7" i="28"/>
  <c r="C7" i="28"/>
  <c r="B8" i="28"/>
  <c r="C8" i="28"/>
  <c r="B9" i="28"/>
  <c r="C9" i="28"/>
  <c r="B10" i="28"/>
  <c r="C10" i="28"/>
  <c r="B11" i="28"/>
  <c r="C11" i="28"/>
  <c r="B12" i="28"/>
  <c r="C12" i="28"/>
  <c r="B13" i="28"/>
  <c r="C13" i="28"/>
  <c r="B14" i="28"/>
  <c r="C14" i="28"/>
  <c r="B15" i="28"/>
  <c r="C15" i="28"/>
  <c r="B16" i="28"/>
  <c r="C16" i="28"/>
  <c r="B17" i="28"/>
  <c r="C17" i="28"/>
  <c r="B18" i="28"/>
  <c r="C18" i="28"/>
  <c r="B19" i="28"/>
  <c r="C19" i="28"/>
  <c r="B20" i="28"/>
  <c r="C20" i="28"/>
  <c r="B21" i="28"/>
  <c r="C21" i="28"/>
  <c r="B22" i="28"/>
  <c r="C22" i="28"/>
  <c r="B23" i="28"/>
  <c r="C23" i="28"/>
  <c r="B24" i="28"/>
  <c r="C24" i="28"/>
  <c r="B25" i="28"/>
  <c r="C25" i="28"/>
  <c r="G8" i="25" l="1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</calcChain>
</file>

<file path=xl/sharedStrings.xml><?xml version="1.0" encoding="utf-8"?>
<sst xmlns="http://schemas.openxmlformats.org/spreadsheetml/2006/main" count="1305" uniqueCount="188">
  <si>
    <t>ID Venta</t>
  </si>
  <si>
    <t>Vendedor</t>
  </si>
  <si>
    <t>Región</t>
  </si>
  <si>
    <t>Producto</t>
  </si>
  <si>
    <t>Cantidad</t>
  </si>
  <si>
    <t>Precio Unitario</t>
  </si>
  <si>
    <t>Descuento (%)</t>
  </si>
  <si>
    <t>Mes</t>
  </si>
  <si>
    <t>Año</t>
  </si>
  <si>
    <t>Objetivo Mensual</t>
  </si>
  <si>
    <t>Cliente Frecuente</t>
  </si>
  <si>
    <t>Método de Pago</t>
  </si>
  <si>
    <t>Categoría Producto</t>
  </si>
  <si>
    <t>Stock Inicial</t>
  </si>
  <si>
    <t>Stock Final</t>
  </si>
  <si>
    <t>Total Bruto</t>
  </si>
  <si>
    <t>Descuento Aplicado</t>
  </si>
  <si>
    <t>Total Venta</t>
  </si>
  <si>
    <t>Ana</t>
  </si>
  <si>
    <t>Sur</t>
  </si>
  <si>
    <t>A</t>
  </si>
  <si>
    <t>Febrero</t>
  </si>
  <si>
    <t>Sí</t>
  </si>
  <si>
    <t>Transferencia</t>
  </si>
  <si>
    <t>Tecnología</t>
  </si>
  <si>
    <t>Carlos</t>
  </si>
  <si>
    <t>Norte</t>
  </si>
  <si>
    <t>D</t>
  </si>
  <si>
    <t>Marzo</t>
  </si>
  <si>
    <t>Tarjeta</t>
  </si>
  <si>
    <t>Hogar</t>
  </si>
  <si>
    <t>Este</t>
  </si>
  <si>
    <t>Mayo</t>
  </si>
  <si>
    <t>Efectivo</t>
  </si>
  <si>
    <t>María</t>
  </si>
  <si>
    <t>Abril</t>
  </si>
  <si>
    <t>No</t>
  </si>
  <si>
    <t>Oficina</t>
  </si>
  <si>
    <t>Lucía</t>
  </si>
  <si>
    <t>Oeste</t>
  </si>
  <si>
    <t>C</t>
  </si>
  <si>
    <t>Enero</t>
  </si>
  <si>
    <t>B</t>
  </si>
  <si>
    <t>Luis</t>
  </si>
  <si>
    <t>Nos permitirá hacer una suma de celdas que cumplan con determinado criterio.</t>
  </si>
  <si>
    <r>
      <t xml:space="preserve">Tiene tres argumentos: </t>
    </r>
    <r>
      <rPr>
        <i/>
        <sz val="13.5"/>
        <color rgb="FFFFFFFF"/>
        <rFont val="Arial"/>
        <family val="2"/>
      </rPr>
      <t>=SUMAR.SI(Rango;Criterio;Rango_suma)</t>
    </r>
  </si>
  <si>
    <r>
      <t xml:space="preserve">Rango </t>
    </r>
    <r>
      <rPr>
        <sz val="13.5"/>
        <color rgb="FF000000"/>
        <rFont val="Arial"/>
        <family val="2"/>
      </rPr>
      <t>es el rango de celdas a evaluar. </t>
    </r>
  </si>
  <si>
    <r>
      <t xml:space="preserve">Criterio </t>
    </r>
    <r>
      <rPr>
        <sz val="13.5"/>
        <color rgb="FF000000"/>
        <rFont val="Arial"/>
        <family val="2"/>
      </rPr>
      <t>es la condición que se tiene que cumplir para que las celdas sean sumadas. </t>
    </r>
  </si>
  <si>
    <r>
      <t xml:space="preserve">Rango_suma </t>
    </r>
    <r>
      <rPr>
        <sz val="13.5"/>
        <color rgb="FF000000"/>
        <rFont val="Arial"/>
        <family val="2"/>
      </rPr>
      <t>son las celdas que se van a sumar.</t>
    </r>
  </si>
  <si>
    <t>SUMAR.SI</t>
  </si>
  <si>
    <r>
      <t xml:space="preserve">Similar a los casos de </t>
    </r>
    <r>
      <rPr>
        <i/>
        <sz val="13.5"/>
        <color rgb="FF000000"/>
        <rFont val="Arial"/>
        <family val="2"/>
      </rPr>
      <t xml:space="preserve">SUMAR.SI </t>
    </r>
    <r>
      <rPr>
        <sz val="13.5"/>
        <color rgb="FF000000"/>
        <rFont val="Arial"/>
        <family val="2"/>
      </rPr>
      <t xml:space="preserve">y </t>
    </r>
    <r>
      <rPr>
        <i/>
        <sz val="13.5"/>
        <color rgb="FF000000"/>
        <rFont val="Arial"/>
        <family val="2"/>
      </rPr>
      <t>CONTAR.SI</t>
    </r>
    <r>
      <rPr>
        <sz val="13.5"/>
        <color rgb="FF000000"/>
        <rFont val="Arial"/>
        <family val="2"/>
      </rPr>
      <t xml:space="preserve">, nos va a permitir agregar un criterio para realizar el cálculo de promedio.  </t>
    </r>
    <r>
      <rPr>
        <i/>
        <sz val="13.5"/>
        <color rgb="FFFFFFFF"/>
        <rFont val="Arial"/>
        <family val="2"/>
      </rPr>
      <t>=PROMEDIO.SI(Rango; Criterio; Rango_promedio)</t>
    </r>
  </si>
  <si>
    <t>Utiliza tres argumentos:</t>
  </si>
  <si>
    <t>Rango es donde se evaluará el criterio.</t>
  </si>
  <si>
    <t>Criterio es el que aplicaremos para seleccionar las celdas que promediaremos.</t>
  </si>
  <si>
    <t>Rango_promedio son las celdas que contienen los números a promediar.</t>
  </si>
  <si>
    <t>Promedio de Ventas</t>
  </si>
  <si>
    <r>
      <t xml:space="preserve">Esta variante de la función, nos va a permitir contar las celdas que cumplan un determinado criterio. </t>
    </r>
    <r>
      <rPr>
        <i/>
        <sz val="13.5"/>
        <color rgb="FFFFFFFF"/>
        <rFont val="Arial"/>
        <family val="2"/>
      </rPr>
      <t>=CONTAR.SI(rango;criterio).</t>
    </r>
  </si>
  <si>
    <r>
      <t xml:space="preserve">Rango </t>
    </r>
    <r>
      <rPr>
        <sz val="13.5"/>
        <color rgb="FF000000"/>
        <rFont val="Arial"/>
        <family val="2"/>
      </rPr>
      <t>es el rango en el que vamos a contar.</t>
    </r>
  </si>
  <si>
    <r>
      <t xml:space="preserve">Criterio </t>
    </r>
    <r>
      <rPr>
        <sz val="13.5"/>
        <color rgb="FF000000"/>
        <rFont val="Arial"/>
        <family val="2"/>
      </rPr>
      <t>es aquel argumento que validará la acción de contar o no una celda.</t>
    </r>
  </si>
  <si>
    <t xml:space="preserve">CONTAR SI </t>
  </si>
  <si>
    <t>Cantidad de Ventas</t>
  </si>
  <si>
    <t>Esta función nos permite sumar los valores de un rango de celdas que cumplen con varias condiciones.</t>
  </si>
  <si>
    <t>Cuenta con tres argumentos:</t>
  </si>
  <si>
    <t>rango_suma: el rango que contiene los valores a sumar.</t>
  </si>
  <si>
    <t>rango_criterios_n: rango a evaluar por el criterio n.</t>
  </si>
  <si>
    <t>criterio_n: el criterio que deben cumplir las celdas del rango_criterios_n.</t>
  </si>
  <si>
    <t>SUMAR SI CONJUNTO</t>
  </si>
  <si>
    <t>Total Vendido</t>
  </si>
  <si>
    <t>En este caso, nos devolverá la medida de tendencia central promedio para todas las celdas del rango que cumplen con las condiciones.</t>
  </si>
  <si>
    <r>
      <t>rango_promedio:</t>
    </r>
    <r>
      <rPr>
        <sz val="13.5"/>
        <color rgb="FF000000"/>
        <rFont val="Arial"/>
        <family val="2"/>
      </rPr>
      <t xml:space="preserve"> el rango que contiene los valores a promediar.</t>
    </r>
  </si>
  <si>
    <r>
      <t xml:space="preserve">rango_criterios_n: </t>
    </r>
    <r>
      <rPr>
        <sz val="13.5"/>
        <color rgb="FF000000"/>
        <rFont val="Arial"/>
        <family val="2"/>
      </rPr>
      <t xml:space="preserve">rango a evaluar por el </t>
    </r>
    <r>
      <rPr>
        <i/>
        <sz val="13.5"/>
        <color rgb="FF000000"/>
        <rFont val="Arial"/>
        <family val="2"/>
      </rPr>
      <t>criterio n.</t>
    </r>
  </si>
  <si>
    <r>
      <t xml:space="preserve">criterio_n: </t>
    </r>
    <r>
      <rPr>
        <sz val="13.5"/>
        <color rgb="FF000000"/>
        <rFont val="Arial"/>
        <family val="2"/>
      </rPr>
      <t xml:space="preserve">el criterio que deben cumplir las celdas del </t>
    </r>
    <r>
      <rPr>
        <i/>
        <sz val="13.5"/>
        <color rgb="FF000000"/>
        <rFont val="Arial"/>
        <family val="2"/>
      </rPr>
      <t>rango_criterios_n.</t>
    </r>
  </si>
  <si>
    <t>PROMEDIO SI CONJUNTO</t>
  </si>
  <si>
    <t>Promedio de Venta</t>
  </si>
  <si>
    <t>CONTAR SI CONJUNTO</t>
  </si>
  <si>
    <t>Esta función nos permite obtener el máximo de de un rango de celdas que cumplen con varias condiciones.</t>
  </si>
  <si>
    <t>rango_max el rango que contiene el valor máximo a obtener.</t>
  </si>
  <si>
    <t>MAX.SI.CONJUNTO</t>
  </si>
  <si>
    <t>MIN.SI.CONJUNTO</t>
  </si>
  <si>
    <t>Máxima Venta</t>
  </si>
  <si>
    <t>Esta función nos permite obtener el mínimo de de un rango de celdas que cumplen con varias condiciones.</t>
  </si>
  <si>
    <t>rango_min: el rango que contiene el valor mínimo a obtener.</t>
  </si>
  <si>
    <t>Mínima Venta</t>
  </si>
  <si>
    <t>Juan</t>
  </si>
  <si>
    <t>Pedro</t>
  </si>
  <si>
    <t>Sofía</t>
  </si>
  <si>
    <t>Total general</t>
  </si>
  <si>
    <t>Charly García</t>
  </si>
  <si>
    <t>Optiwork</t>
  </si>
  <si>
    <t>OCC objetivo</t>
  </si>
  <si>
    <t>Horas operativas estimadas</t>
  </si>
  <si>
    <t>Tiempo total</t>
  </si>
  <si>
    <t>Diferencia</t>
  </si>
  <si>
    <t>Ocupacion real</t>
  </si>
  <si>
    <t>Luis Alberto Spinetta</t>
  </si>
  <si>
    <t>Fito Páez</t>
  </si>
  <si>
    <t>Gustavo Cerati</t>
  </si>
  <si>
    <t>Andrés Calamaro</t>
  </si>
  <si>
    <t>Ricardo Mollo</t>
  </si>
  <si>
    <t>Marca</t>
  </si>
  <si>
    <t>Modelo</t>
  </si>
  <si>
    <t>Patente</t>
  </si>
  <si>
    <t>Toyota</t>
  </si>
  <si>
    <t>Corolla</t>
  </si>
  <si>
    <t>Volkswagen</t>
  </si>
  <si>
    <t>Golf</t>
  </si>
  <si>
    <t>Ford</t>
  </si>
  <si>
    <t>Focus</t>
  </si>
  <si>
    <t>AC789GH</t>
  </si>
  <si>
    <t>Chevrolet</t>
  </si>
  <si>
    <t>Cruze</t>
  </si>
  <si>
    <t>AD234IJ</t>
  </si>
  <si>
    <t>Renault</t>
  </si>
  <si>
    <t>Sandero</t>
  </si>
  <si>
    <t>Peugeot</t>
  </si>
  <si>
    <t>Honda</t>
  </si>
  <si>
    <t>Civic</t>
  </si>
  <si>
    <t>Nissan</t>
  </si>
  <si>
    <t>Versa</t>
  </si>
  <si>
    <t>AD654QR</t>
  </si>
  <si>
    <t>Fiat</t>
  </si>
  <si>
    <t>Cronos</t>
  </si>
  <si>
    <t>Hyundai</t>
  </si>
  <si>
    <t>Tucson</t>
  </si>
  <si>
    <t>Kia</t>
  </si>
  <si>
    <t>Rio</t>
  </si>
  <si>
    <t>Citroën</t>
  </si>
  <si>
    <t>C4</t>
  </si>
  <si>
    <t>AE876YZ</t>
  </si>
  <si>
    <t>BMW</t>
  </si>
  <si>
    <t>Serie 3</t>
  </si>
  <si>
    <t>AB654AC</t>
  </si>
  <si>
    <t>Mercedes-Benz</t>
  </si>
  <si>
    <t>Clase A</t>
  </si>
  <si>
    <t>Audi</t>
  </si>
  <si>
    <t>A3</t>
  </si>
  <si>
    <t>AF765CE</t>
  </si>
  <si>
    <t>Jeep</t>
  </si>
  <si>
    <t>Renegade</t>
  </si>
  <si>
    <t>AD432DF</t>
  </si>
  <si>
    <t>Suzuki</t>
  </si>
  <si>
    <t>Swift</t>
  </si>
  <si>
    <t>Mazda</t>
  </si>
  <si>
    <t>CX-5</t>
  </si>
  <si>
    <t>AC999FH</t>
  </si>
  <si>
    <t>Mitsubishi</t>
  </si>
  <si>
    <t>Lancer</t>
  </si>
  <si>
    <t>AB555GI</t>
  </si>
  <si>
    <t>Volvo</t>
  </si>
  <si>
    <t>XC40</t>
  </si>
  <si>
    <t>AE808HJ</t>
  </si>
  <si>
    <t>AEI23CD</t>
  </si>
  <si>
    <t>AB567KI</t>
  </si>
  <si>
    <t>AA32I0P</t>
  </si>
  <si>
    <t>AF2I0UV</t>
  </si>
  <si>
    <t>AE2I0EG</t>
  </si>
  <si>
    <t>AE9875T</t>
  </si>
  <si>
    <t>AF456EFF</t>
  </si>
  <si>
    <t>AE890MII</t>
  </si>
  <si>
    <t>AC543KKK</t>
  </si>
  <si>
    <t>AE098VBD</t>
  </si>
  <si>
    <t>XO</t>
  </si>
  <si>
    <t>Y</t>
  </si>
  <si>
    <t>O</t>
  </si>
  <si>
    <t xml:space="preserve">FUNCION XO </t>
  </si>
  <si>
    <t>Notese que VERDADERO y FALSO tambien se pueden escribir como funciones</t>
  </si>
  <si>
    <t>Julieta</t>
  </si>
  <si>
    <t>Pablo</t>
  </si>
  <si>
    <t>Camila</t>
  </si>
  <si>
    <t>Rodrigo</t>
  </si>
  <si>
    <t>Florencia</t>
  </si>
  <si>
    <t>Sebastián</t>
  </si>
  <si>
    <t>Martina</t>
  </si>
  <si>
    <t>Nicolás</t>
  </si>
  <si>
    <t>Valeria</t>
  </si>
  <si>
    <t>Gonzalo</t>
  </si>
  <si>
    <t>Tomás</t>
  </si>
  <si>
    <t>Leo</t>
  </si>
  <si>
    <t>Carla</t>
  </si>
  <si>
    <t>Marcos</t>
  </si>
  <si>
    <t>Laura</t>
  </si>
  <si>
    <t>Enviar recordatorio de pago</t>
  </si>
  <si>
    <t>Factura vencida</t>
  </si>
  <si>
    <t>Pago realiozado</t>
  </si>
  <si>
    <t>Nombre</t>
  </si>
  <si>
    <t>A quién hay que enviarle un recordatorio</t>
  </si>
  <si>
    <t>Funcion NO con Y</t>
  </si>
  <si>
    <t>PROMEDIO.SI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</si>
</sst>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_(&quot;$&quot;* #,##0.00_);_(&quot;$&quot;* \(#,##0.00\);_(&quot;$&quot;* &quot;-&quot;??_);_(@_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.5"/>
      <color rgb="FF000000"/>
      <name val="Arial"/>
      <family val="2"/>
    </font>
    <font>
      <i/>
      <sz val="13.5"/>
      <color rgb="FFFFFFFF"/>
      <name val="Arial"/>
      <family val="2"/>
    </font>
    <font>
      <i/>
      <sz val="13.5"/>
      <color rgb="FF000000"/>
      <name val="Arial"/>
      <family val="2"/>
    </font>
    <font>
      <b/>
      <sz val="24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0" fillId="2" borderId="0" xfId="0" applyFill="1"/>
    <xf numFmtId="0" fontId="6" fillId="2" borderId="0" xfId="0" applyFont="1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0" fillId="0" borderId="1" xfId="1" applyFont="1" applyBorder="1"/>
    <xf numFmtId="164" fontId="0" fillId="0" borderId="1" xfId="1" applyFont="1" applyBorder="1" applyAlignment="1">
      <alignment vertical="center" wrapText="1"/>
    </xf>
    <xf numFmtId="164" fontId="7" fillId="0" borderId="1" xfId="1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7" fillId="0" borderId="1" xfId="1" applyNumberFormat="1" applyFont="1" applyBorder="1" applyAlignment="1">
      <alignment vertical="center" wrapText="1"/>
    </xf>
    <xf numFmtId="0" fontId="3" fillId="0" borderId="0" xfId="0" applyFont="1" applyAlignment="1">
      <alignment horizontal="left" vertical="center" indent="10"/>
    </xf>
    <xf numFmtId="0" fontId="5" fillId="0" borderId="0" xfId="0" applyFont="1" applyAlignment="1">
      <alignment horizontal="left" vertical="center" indent="10"/>
    </xf>
    <xf numFmtId="0" fontId="0" fillId="3" borderId="0" xfId="0" applyFill="1"/>
    <xf numFmtId="14" fontId="2" fillId="4" borderId="2" xfId="0" applyNumberFormat="1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5" borderId="3" xfId="0" applyFill="1" applyBorder="1"/>
    <xf numFmtId="10" fontId="8" fillId="6" borderId="0" xfId="0" applyNumberFormat="1" applyFont="1" applyFill="1"/>
    <xf numFmtId="0" fontId="0" fillId="0" borderId="1" xfId="0" applyBorder="1"/>
    <xf numFmtId="0" fontId="2" fillId="0" borderId="10" xfId="0" applyFont="1" applyBorder="1" applyAlignment="1">
      <alignment horizontal="center" vertical="top"/>
    </xf>
    <xf numFmtId="0" fontId="2" fillId="0" borderId="0" xfId="0" applyFont="1"/>
    <xf numFmtId="0" fontId="9" fillId="2" borderId="0" xfId="0" applyFont="1" applyFill="1"/>
    <xf numFmtId="0" fontId="0" fillId="0" borderId="1" xfId="0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8">
    <cellStyle name="Currency 2 3" xfId="4"/>
    <cellStyle name="Moneda" xfId="1" builtinId="4"/>
    <cellStyle name="Moneda 2" xfId="2"/>
    <cellStyle name="Normal" xfId="0" builtinId="0"/>
    <cellStyle name="Normal 2" xfId="3"/>
    <cellStyle name="Normal 2 2" xfId="5"/>
    <cellStyle name="Normal 2 3" xfId="6"/>
    <cellStyle name="Normal 3" xfId="7"/>
  </cellStyles>
  <dxfs count="1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/>
  </tableStyles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44</xdr:row>
      <xdr:rowOff>180974</xdr:rowOff>
    </xdr:from>
    <xdr:to>
      <xdr:col>5</xdr:col>
      <xdr:colOff>209550</xdr:colOff>
      <xdr:row>57</xdr:row>
      <xdr:rowOff>0</xdr:rowOff>
    </xdr:to>
    <xdr:sp macro="" textlink="">
      <xdr:nvSpPr>
        <xdr:cNvPr id="2" name="CuadroTexto 1"/>
        <xdr:cNvSpPr txBox="1"/>
      </xdr:nvSpPr>
      <xdr:spPr>
        <a:xfrm>
          <a:off x="1371600" y="8153399"/>
          <a:ext cx="4019550" cy="21717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/>
            <a:t>Promedio</a:t>
          </a:r>
          <a:r>
            <a:rPr lang="es-AR" sz="1100" b="1" baseline="0"/>
            <a:t>.si.conjunto con un si.error</a:t>
          </a:r>
        </a:p>
        <a:p>
          <a:endParaRPr lang="es-AR" sz="1100" baseline="0"/>
        </a:p>
        <a:p>
          <a:r>
            <a:rPr lang="es-AR" sz="1100" baseline="0"/>
            <a:t>1er condicion: Ocupacion real</a:t>
          </a:r>
        </a:p>
        <a:p>
          <a:r>
            <a:rPr lang="es-AR" sz="1100" baseline="0"/>
            <a:t>2da Condidcion: mayor a 0</a:t>
          </a:r>
        </a:p>
        <a:p>
          <a:endParaRPr lang="es-AR" sz="1100" baseline="0"/>
        </a:p>
        <a:p>
          <a:r>
            <a:rPr lang="es-AR" sz="1100" baseline="0"/>
            <a:t>Utilizar la formula si.error para que arroje 0.</a:t>
          </a:r>
        </a:p>
        <a:p>
          <a:endParaRPr lang="es-AR" sz="1100" baseline="0"/>
        </a:p>
        <a:p>
          <a:r>
            <a:rPr lang="es-AR" sz="1100" baseline="0"/>
            <a:t>Fijar el rango del 1er criterio y criterio 1 para luego poder deslizar hacia la derecha sin que se me cambien las columnas de lugar.</a:t>
          </a:r>
        </a:p>
        <a:p>
          <a:endParaRPr lang="es-AR" sz="1100"/>
        </a:p>
      </xdr:txBody>
    </xdr:sp>
    <xdr:clientData/>
  </xdr:twoCellAnchor>
  <xdr:twoCellAnchor>
    <xdr:from>
      <xdr:col>2</xdr:col>
      <xdr:colOff>19050</xdr:colOff>
      <xdr:row>41</xdr:row>
      <xdr:rowOff>123826</xdr:rowOff>
    </xdr:from>
    <xdr:to>
      <xdr:col>3</xdr:col>
      <xdr:colOff>85725</xdr:colOff>
      <xdr:row>44</xdr:row>
      <xdr:rowOff>38101</xdr:rowOff>
    </xdr:to>
    <xdr:sp macro="" textlink="">
      <xdr:nvSpPr>
        <xdr:cNvPr id="3" name="CuadroTexto 2"/>
        <xdr:cNvSpPr txBox="1"/>
      </xdr:nvSpPr>
      <xdr:spPr>
        <a:xfrm>
          <a:off x="2686050" y="7553326"/>
          <a:ext cx="904875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-------&gt;</a:t>
          </a:r>
        </a:p>
        <a:p>
          <a:r>
            <a:rPr lang="es-AR" sz="1100"/>
            <a:t>Deslizar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a1" displayName="Tabla1" ref="A7:G27" totalsRowShown="0" headerRowDxfId="11" dataDxfId="10">
  <autoFilter ref="A7:G27"/>
  <tableColumns count="7">
    <tableColumn id="1" name="Marca" dataDxfId="9"/>
    <tableColumn id="2" name="Modelo" dataDxfId="8"/>
    <tableColumn id="3" name="Año" dataDxfId="7"/>
    <tableColumn id="4" name="Patente" dataDxfId="6"/>
    <tableColumn id="5" name="XO" dataDxfId="5">
      <calculatedColumnFormula>_xlfn.XOR(LEN(Tabla1[[#This Row],[Patente]])=7,ISNUMBER(VALUE(MID(Tabla1[[#This Row],[Patente]],3,3))))</calculatedColumnFormula>
    </tableColumn>
    <tableColumn id="6" name="Y" dataDxfId="4">
      <calculatedColumnFormula>AND(LEN(Tabla1[[#This Row],[Patente]])=7,ISNUMBER(VALUE(MID(Tabla1[[#This Row],[Patente]],3,3))))</calculatedColumnFormula>
    </tableColumn>
    <tableColumn id="7" name="O" dataDxfId="3">
      <calculatedColumnFormula>OR(LEN(Tabla1[[#This Row],[Patente]])=7,ISNUMBER(VALUE(MID(Tabla1[[#This Row],[Patente]],3,3))))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5:D25" totalsRowShown="0" headerRowDxfId="2" headerRowBorderDxfId="1" tableBorderDxfId="0">
  <autoFilter ref="A5:D25"/>
  <tableColumns count="4">
    <tableColumn id="1" name="Nombre"/>
    <tableColumn id="2" name="Pago realiozado"/>
    <tableColumn id="3" name="Factura vencida"/>
    <tableColumn id="4" name="Enviar recordatorio de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R151"/>
  <sheetViews>
    <sheetView workbookViewId="0">
      <selection activeCell="K21" sqref="K21"/>
    </sheetView>
  </sheetViews>
  <sheetFormatPr baseColWidth="10" defaultRowHeight="14.25"/>
  <cols>
    <col min="1" max="5" width="11.375" style="2"/>
    <col min="6" max="6" width="12.5" style="2" bestFit="1" customWidth="1"/>
    <col min="7" max="7" width="12.375" style="2" bestFit="1" customWidth="1"/>
    <col min="8" max="9" width="11.375" style="2"/>
    <col min="10" max="10" width="14.5" style="2" bestFit="1" customWidth="1"/>
    <col min="11" max="18" width="11.375" style="2"/>
  </cols>
  <sheetData>
    <row r="1" spans="1:1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</v>
      </c>
      <c r="B2" s="2" t="s">
        <v>18</v>
      </c>
      <c r="C2" s="2" t="s">
        <v>19</v>
      </c>
      <c r="D2" s="2" t="s">
        <v>20</v>
      </c>
      <c r="E2" s="2">
        <v>12</v>
      </c>
      <c r="F2" s="2">
        <v>504</v>
      </c>
      <c r="G2" s="2">
        <v>0</v>
      </c>
      <c r="H2" s="2" t="s">
        <v>21</v>
      </c>
      <c r="I2" s="2">
        <v>2024</v>
      </c>
      <c r="J2" s="2">
        <v>16348</v>
      </c>
      <c r="K2" s="2" t="s">
        <v>22</v>
      </c>
      <c r="L2" s="2" t="s">
        <v>23</v>
      </c>
      <c r="M2" s="2" t="s">
        <v>24</v>
      </c>
      <c r="N2" s="2">
        <v>11</v>
      </c>
      <c r="O2" s="2">
        <v>41</v>
      </c>
      <c r="P2" s="2">
        <v>6048</v>
      </c>
      <c r="Q2" s="2">
        <v>0</v>
      </c>
      <c r="R2" s="2">
        <v>6048</v>
      </c>
    </row>
    <row r="3" spans="1:18">
      <c r="A3" s="2">
        <v>2</v>
      </c>
      <c r="B3" s="2" t="s">
        <v>25</v>
      </c>
      <c r="C3" s="2" t="s">
        <v>26</v>
      </c>
      <c r="D3" s="2" t="s">
        <v>27</v>
      </c>
      <c r="E3" s="2">
        <v>17</v>
      </c>
      <c r="F3" s="2">
        <v>922</v>
      </c>
      <c r="G3" s="2">
        <v>10</v>
      </c>
      <c r="H3" s="2" t="s">
        <v>28</v>
      </c>
      <c r="I3" s="2">
        <v>2023</v>
      </c>
      <c r="J3" s="2">
        <v>9242</v>
      </c>
      <c r="K3" s="2" t="s">
        <v>22</v>
      </c>
      <c r="L3" s="2" t="s">
        <v>29</v>
      </c>
      <c r="M3" s="2" t="s">
        <v>30</v>
      </c>
      <c r="N3" s="2">
        <v>97</v>
      </c>
      <c r="O3" s="2">
        <v>43</v>
      </c>
      <c r="P3" s="2">
        <v>15674</v>
      </c>
      <c r="Q3" s="2">
        <v>1567.4</v>
      </c>
      <c r="R3" s="2">
        <v>14106.6</v>
      </c>
    </row>
    <row r="4" spans="1:18">
      <c r="A4" s="2">
        <v>3</v>
      </c>
      <c r="B4" s="2" t="s">
        <v>18</v>
      </c>
      <c r="C4" s="2" t="s">
        <v>31</v>
      </c>
      <c r="D4" s="2" t="s">
        <v>20</v>
      </c>
      <c r="E4" s="2">
        <v>13</v>
      </c>
      <c r="F4" s="2">
        <v>617</v>
      </c>
      <c r="G4" s="2">
        <v>0</v>
      </c>
      <c r="H4" s="2" t="s">
        <v>32</v>
      </c>
      <c r="I4" s="2">
        <v>2024</v>
      </c>
      <c r="J4" s="2">
        <v>8695</v>
      </c>
      <c r="K4" s="2" t="s">
        <v>22</v>
      </c>
      <c r="L4" s="2" t="s">
        <v>33</v>
      </c>
      <c r="M4" s="2" t="s">
        <v>24</v>
      </c>
      <c r="N4" s="2">
        <v>81</v>
      </c>
      <c r="O4" s="2">
        <v>13</v>
      </c>
      <c r="P4" s="2">
        <v>8021</v>
      </c>
      <c r="Q4" s="2">
        <v>0</v>
      </c>
      <c r="R4" s="2">
        <v>8021</v>
      </c>
    </row>
    <row r="5" spans="1:18">
      <c r="A5" s="2">
        <v>4</v>
      </c>
      <c r="B5" s="2" t="s">
        <v>34</v>
      </c>
      <c r="C5" s="2" t="s">
        <v>31</v>
      </c>
      <c r="D5" s="2" t="s">
        <v>20</v>
      </c>
      <c r="E5" s="2">
        <v>3</v>
      </c>
      <c r="F5" s="2">
        <v>575</v>
      </c>
      <c r="G5" s="2">
        <v>5</v>
      </c>
      <c r="H5" s="2" t="s">
        <v>35</v>
      </c>
      <c r="I5" s="2">
        <v>2025</v>
      </c>
      <c r="J5" s="2">
        <v>8452</v>
      </c>
      <c r="K5" s="2" t="s">
        <v>36</v>
      </c>
      <c r="L5" s="2" t="s">
        <v>33</v>
      </c>
      <c r="M5" s="2" t="s">
        <v>37</v>
      </c>
      <c r="N5" s="2">
        <v>20</v>
      </c>
      <c r="O5" s="2">
        <v>13</v>
      </c>
      <c r="P5" s="2">
        <v>1725</v>
      </c>
      <c r="Q5" s="2">
        <v>86.25</v>
      </c>
      <c r="R5" s="2">
        <v>1638.75</v>
      </c>
    </row>
    <row r="6" spans="1:18">
      <c r="A6" s="2">
        <v>5</v>
      </c>
      <c r="B6" s="2" t="s">
        <v>38</v>
      </c>
      <c r="C6" s="2" t="s">
        <v>39</v>
      </c>
      <c r="D6" s="2" t="s">
        <v>20</v>
      </c>
      <c r="E6" s="2">
        <v>9</v>
      </c>
      <c r="F6" s="2">
        <v>808</v>
      </c>
      <c r="G6" s="2">
        <v>10</v>
      </c>
      <c r="H6" s="2" t="s">
        <v>32</v>
      </c>
      <c r="I6" s="2">
        <v>2025</v>
      </c>
      <c r="J6" s="2">
        <v>14106</v>
      </c>
      <c r="K6" s="2" t="s">
        <v>36</v>
      </c>
      <c r="L6" s="2" t="s">
        <v>29</v>
      </c>
      <c r="M6" s="2" t="s">
        <v>37</v>
      </c>
      <c r="N6" s="2">
        <v>73</v>
      </c>
      <c r="O6" s="2">
        <v>1</v>
      </c>
      <c r="P6" s="2">
        <v>7272</v>
      </c>
      <c r="Q6" s="2">
        <v>727.2</v>
      </c>
      <c r="R6" s="2">
        <v>6544.8</v>
      </c>
    </row>
    <row r="7" spans="1:18">
      <c r="A7" s="2">
        <v>6</v>
      </c>
      <c r="B7" s="2" t="s">
        <v>18</v>
      </c>
      <c r="C7" s="2" t="s">
        <v>26</v>
      </c>
      <c r="D7" s="2" t="s">
        <v>27</v>
      </c>
      <c r="E7" s="2">
        <v>17</v>
      </c>
      <c r="F7" s="2">
        <v>962</v>
      </c>
      <c r="G7" s="2">
        <v>15</v>
      </c>
      <c r="H7" s="2" t="s">
        <v>21</v>
      </c>
      <c r="I7" s="2">
        <v>2023</v>
      </c>
      <c r="J7" s="2">
        <v>18859</v>
      </c>
      <c r="K7" s="2" t="s">
        <v>22</v>
      </c>
      <c r="L7" s="2" t="s">
        <v>23</v>
      </c>
      <c r="M7" s="2" t="s">
        <v>37</v>
      </c>
      <c r="N7" s="2">
        <v>86</v>
      </c>
      <c r="O7" s="2">
        <v>36</v>
      </c>
      <c r="P7" s="2">
        <v>16354</v>
      </c>
      <c r="Q7" s="2">
        <v>2453.1</v>
      </c>
      <c r="R7" s="2">
        <v>13900.9</v>
      </c>
    </row>
    <row r="8" spans="1:18">
      <c r="A8" s="2">
        <v>7</v>
      </c>
      <c r="B8" s="2" t="s">
        <v>25</v>
      </c>
      <c r="C8" s="2" t="s">
        <v>39</v>
      </c>
      <c r="D8" s="2" t="s">
        <v>20</v>
      </c>
      <c r="E8" s="2">
        <v>17</v>
      </c>
      <c r="F8" s="2">
        <v>744</v>
      </c>
      <c r="G8" s="2">
        <v>5</v>
      </c>
      <c r="H8" s="2" t="s">
        <v>35</v>
      </c>
      <c r="I8" s="2">
        <v>2024</v>
      </c>
      <c r="J8" s="2">
        <v>6308</v>
      </c>
      <c r="K8" s="2" t="s">
        <v>22</v>
      </c>
      <c r="L8" s="2" t="s">
        <v>23</v>
      </c>
      <c r="M8" s="2" t="s">
        <v>30</v>
      </c>
      <c r="N8" s="2">
        <v>90</v>
      </c>
      <c r="O8" s="2">
        <v>4</v>
      </c>
      <c r="P8" s="2">
        <v>12648</v>
      </c>
      <c r="Q8" s="2">
        <v>632.4</v>
      </c>
      <c r="R8" s="2">
        <v>12015.6</v>
      </c>
    </row>
    <row r="9" spans="1:18">
      <c r="A9" s="2">
        <v>8</v>
      </c>
      <c r="B9" s="2" t="s">
        <v>25</v>
      </c>
      <c r="C9" s="2" t="s">
        <v>31</v>
      </c>
      <c r="D9" s="2" t="s">
        <v>40</v>
      </c>
      <c r="E9" s="2">
        <v>16</v>
      </c>
      <c r="F9" s="2">
        <v>969</v>
      </c>
      <c r="G9" s="2">
        <v>10</v>
      </c>
      <c r="H9" s="2" t="s">
        <v>28</v>
      </c>
      <c r="I9" s="2">
        <v>2023</v>
      </c>
      <c r="J9" s="2">
        <v>9177</v>
      </c>
      <c r="K9" s="2" t="s">
        <v>22</v>
      </c>
      <c r="L9" s="2" t="s">
        <v>29</v>
      </c>
      <c r="M9" s="2" t="s">
        <v>30</v>
      </c>
      <c r="N9" s="2">
        <v>81</v>
      </c>
      <c r="O9" s="2">
        <v>37</v>
      </c>
      <c r="P9" s="2">
        <v>15504</v>
      </c>
      <c r="Q9" s="2">
        <v>1550.4</v>
      </c>
      <c r="R9" s="2">
        <v>13953.6</v>
      </c>
    </row>
    <row r="10" spans="1:18">
      <c r="A10" s="2">
        <v>9</v>
      </c>
      <c r="B10" s="2" t="s">
        <v>18</v>
      </c>
      <c r="C10" s="2" t="s">
        <v>26</v>
      </c>
      <c r="D10" s="2" t="s">
        <v>27</v>
      </c>
      <c r="E10" s="2">
        <v>13</v>
      </c>
      <c r="F10" s="2">
        <v>870</v>
      </c>
      <c r="G10" s="2">
        <v>10</v>
      </c>
      <c r="H10" s="2" t="s">
        <v>35</v>
      </c>
      <c r="I10" s="2">
        <v>2023</v>
      </c>
      <c r="J10" s="2">
        <v>13705</v>
      </c>
      <c r="K10" s="2" t="s">
        <v>22</v>
      </c>
      <c r="L10" s="2" t="s">
        <v>29</v>
      </c>
      <c r="M10" s="2" t="s">
        <v>37</v>
      </c>
      <c r="N10" s="2">
        <v>30</v>
      </c>
      <c r="O10" s="2">
        <v>44</v>
      </c>
      <c r="P10" s="2">
        <v>11310</v>
      </c>
      <c r="Q10" s="2">
        <v>1131</v>
      </c>
      <c r="R10" s="2">
        <v>10179</v>
      </c>
    </row>
    <row r="11" spans="1:18">
      <c r="A11" s="2">
        <v>10</v>
      </c>
      <c r="B11" s="2" t="s">
        <v>38</v>
      </c>
      <c r="C11" s="2" t="s">
        <v>26</v>
      </c>
      <c r="D11" s="2" t="s">
        <v>40</v>
      </c>
      <c r="E11" s="2">
        <v>19</v>
      </c>
      <c r="F11" s="2">
        <v>536</v>
      </c>
      <c r="G11" s="2">
        <v>15</v>
      </c>
      <c r="H11" s="2" t="s">
        <v>41</v>
      </c>
      <c r="I11" s="2">
        <v>2024</v>
      </c>
      <c r="J11" s="2">
        <v>15112</v>
      </c>
      <c r="K11" s="2" t="s">
        <v>36</v>
      </c>
      <c r="L11" s="2" t="s">
        <v>33</v>
      </c>
      <c r="M11" s="2" t="s">
        <v>24</v>
      </c>
      <c r="N11" s="2">
        <v>27</v>
      </c>
      <c r="O11" s="2">
        <v>40</v>
      </c>
      <c r="P11" s="2">
        <v>10184</v>
      </c>
      <c r="Q11" s="2">
        <v>1527.6</v>
      </c>
      <c r="R11" s="2">
        <v>8656.4</v>
      </c>
    </row>
    <row r="12" spans="1:18">
      <c r="A12" s="2">
        <v>11</v>
      </c>
      <c r="B12" s="2" t="s">
        <v>18</v>
      </c>
      <c r="C12" s="2" t="s">
        <v>39</v>
      </c>
      <c r="D12" s="2" t="s">
        <v>20</v>
      </c>
      <c r="E12" s="2">
        <v>17</v>
      </c>
      <c r="F12" s="2">
        <v>122</v>
      </c>
      <c r="G12" s="2">
        <v>0</v>
      </c>
      <c r="H12" s="2" t="s">
        <v>35</v>
      </c>
      <c r="I12" s="2">
        <v>2024</v>
      </c>
      <c r="J12" s="2">
        <v>11852</v>
      </c>
      <c r="K12" s="2" t="s">
        <v>22</v>
      </c>
      <c r="L12" s="2" t="s">
        <v>29</v>
      </c>
      <c r="M12" s="2" t="s">
        <v>30</v>
      </c>
      <c r="N12" s="2">
        <v>73</v>
      </c>
      <c r="O12" s="2">
        <v>46</v>
      </c>
      <c r="P12" s="2">
        <v>2074</v>
      </c>
      <c r="Q12" s="2">
        <v>0</v>
      </c>
      <c r="R12" s="2">
        <v>2074</v>
      </c>
    </row>
    <row r="13" spans="1:18">
      <c r="A13" s="2">
        <v>12</v>
      </c>
      <c r="B13" s="2" t="s">
        <v>25</v>
      </c>
      <c r="C13" s="2" t="s">
        <v>31</v>
      </c>
      <c r="D13" s="2" t="s">
        <v>42</v>
      </c>
      <c r="E13" s="2">
        <v>4</v>
      </c>
      <c r="F13" s="2">
        <v>664</v>
      </c>
      <c r="G13" s="2">
        <v>0</v>
      </c>
      <c r="H13" s="2" t="s">
        <v>41</v>
      </c>
      <c r="I13" s="2">
        <v>2024</v>
      </c>
      <c r="J13" s="2">
        <v>11035</v>
      </c>
      <c r="K13" s="2" t="s">
        <v>36</v>
      </c>
      <c r="L13" s="2" t="s">
        <v>23</v>
      </c>
      <c r="M13" s="2" t="s">
        <v>37</v>
      </c>
      <c r="N13" s="2">
        <v>91</v>
      </c>
      <c r="O13" s="2">
        <v>13</v>
      </c>
      <c r="P13" s="2">
        <v>2656</v>
      </c>
      <c r="Q13" s="2">
        <v>0</v>
      </c>
      <c r="R13" s="2">
        <v>2656</v>
      </c>
    </row>
    <row r="14" spans="1:18">
      <c r="A14" s="2">
        <v>13</v>
      </c>
      <c r="B14" s="2" t="s">
        <v>43</v>
      </c>
      <c r="C14" s="2" t="s">
        <v>26</v>
      </c>
      <c r="D14" s="2" t="s">
        <v>20</v>
      </c>
      <c r="E14" s="2">
        <v>12</v>
      </c>
      <c r="F14" s="2">
        <v>776</v>
      </c>
      <c r="G14" s="2">
        <v>5</v>
      </c>
      <c r="H14" s="2" t="s">
        <v>35</v>
      </c>
      <c r="I14" s="2">
        <v>2025</v>
      </c>
      <c r="J14" s="2">
        <v>8594</v>
      </c>
      <c r="K14" s="2" t="s">
        <v>36</v>
      </c>
      <c r="L14" s="2" t="s">
        <v>29</v>
      </c>
      <c r="M14" s="2" t="s">
        <v>37</v>
      </c>
      <c r="N14" s="2">
        <v>47</v>
      </c>
      <c r="O14" s="2">
        <v>38</v>
      </c>
      <c r="P14" s="2">
        <v>9312</v>
      </c>
      <c r="Q14" s="2">
        <v>465.6</v>
      </c>
      <c r="R14" s="2">
        <v>8846.4</v>
      </c>
    </row>
    <row r="15" spans="1:18">
      <c r="A15" s="2">
        <v>14</v>
      </c>
      <c r="B15" s="2" t="s">
        <v>34</v>
      </c>
      <c r="C15" s="2" t="s">
        <v>39</v>
      </c>
      <c r="D15" s="2" t="s">
        <v>40</v>
      </c>
      <c r="E15" s="2">
        <v>9</v>
      </c>
      <c r="F15" s="2">
        <v>813</v>
      </c>
      <c r="G15" s="2">
        <v>15</v>
      </c>
      <c r="H15" s="2" t="s">
        <v>41</v>
      </c>
      <c r="I15" s="2">
        <v>2023</v>
      </c>
      <c r="J15" s="2">
        <v>9841</v>
      </c>
      <c r="K15" s="2" t="s">
        <v>22</v>
      </c>
      <c r="L15" s="2" t="s">
        <v>33</v>
      </c>
      <c r="M15" s="2" t="s">
        <v>30</v>
      </c>
      <c r="N15" s="2">
        <v>41</v>
      </c>
      <c r="O15" s="2">
        <v>24</v>
      </c>
      <c r="P15" s="2">
        <v>7317</v>
      </c>
      <c r="Q15" s="2">
        <v>1097.55</v>
      </c>
      <c r="R15" s="2">
        <v>6219.45</v>
      </c>
    </row>
    <row r="16" spans="1:18">
      <c r="A16" s="2">
        <v>15</v>
      </c>
      <c r="B16" s="2" t="s">
        <v>25</v>
      </c>
      <c r="C16" s="2" t="s">
        <v>31</v>
      </c>
      <c r="D16" s="2" t="s">
        <v>40</v>
      </c>
      <c r="E16" s="2">
        <v>19</v>
      </c>
      <c r="F16" s="2">
        <v>557</v>
      </c>
      <c r="G16" s="2">
        <v>0</v>
      </c>
      <c r="H16" s="2" t="s">
        <v>21</v>
      </c>
      <c r="I16" s="2">
        <v>2023</v>
      </c>
      <c r="J16" s="2">
        <v>6409</v>
      </c>
      <c r="K16" s="2" t="s">
        <v>36</v>
      </c>
      <c r="L16" s="2" t="s">
        <v>33</v>
      </c>
      <c r="M16" s="2" t="s">
        <v>30</v>
      </c>
      <c r="N16" s="2">
        <v>20</v>
      </c>
      <c r="O16" s="2">
        <v>19</v>
      </c>
      <c r="P16" s="2">
        <v>10583</v>
      </c>
      <c r="Q16" s="2">
        <v>0</v>
      </c>
      <c r="R16" s="2">
        <v>10583</v>
      </c>
    </row>
    <row r="17" spans="1:18">
      <c r="A17" s="2">
        <v>16</v>
      </c>
      <c r="B17" s="2" t="s">
        <v>18</v>
      </c>
      <c r="C17" s="2" t="s">
        <v>39</v>
      </c>
      <c r="D17" s="2" t="s">
        <v>27</v>
      </c>
      <c r="E17" s="2">
        <v>12</v>
      </c>
      <c r="F17" s="2">
        <v>182</v>
      </c>
      <c r="G17" s="2">
        <v>15</v>
      </c>
      <c r="H17" s="2" t="s">
        <v>32</v>
      </c>
      <c r="I17" s="2">
        <v>2025</v>
      </c>
      <c r="J17" s="2">
        <v>17994</v>
      </c>
      <c r="K17" s="2" t="s">
        <v>36</v>
      </c>
      <c r="L17" s="2" t="s">
        <v>33</v>
      </c>
      <c r="M17" s="2" t="s">
        <v>30</v>
      </c>
      <c r="N17" s="2">
        <v>54</v>
      </c>
      <c r="O17" s="2">
        <v>1</v>
      </c>
      <c r="P17" s="2">
        <v>2184</v>
      </c>
      <c r="Q17" s="2">
        <v>327.60000000000002</v>
      </c>
      <c r="R17" s="2">
        <v>1856.4</v>
      </c>
    </row>
    <row r="18" spans="1:18">
      <c r="A18" s="2">
        <v>17</v>
      </c>
      <c r="B18" s="2" t="s">
        <v>34</v>
      </c>
      <c r="C18" s="2" t="s">
        <v>19</v>
      </c>
      <c r="D18" s="2" t="s">
        <v>42</v>
      </c>
      <c r="E18" s="2">
        <v>9</v>
      </c>
      <c r="F18" s="2">
        <v>244</v>
      </c>
      <c r="G18" s="2">
        <v>0</v>
      </c>
      <c r="H18" s="2" t="s">
        <v>28</v>
      </c>
      <c r="I18" s="2">
        <v>2024</v>
      </c>
      <c r="J18" s="2">
        <v>9566</v>
      </c>
      <c r="K18" s="2" t="s">
        <v>36</v>
      </c>
      <c r="L18" s="2" t="s">
        <v>33</v>
      </c>
      <c r="M18" s="2" t="s">
        <v>24</v>
      </c>
      <c r="N18" s="2">
        <v>98</v>
      </c>
      <c r="O18" s="2">
        <v>38</v>
      </c>
      <c r="P18" s="2">
        <v>2196</v>
      </c>
      <c r="Q18" s="2">
        <v>0</v>
      </c>
      <c r="R18" s="2">
        <v>2196</v>
      </c>
    </row>
    <row r="19" spans="1:18">
      <c r="A19" s="2">
        <v>18</v>
      </c>
      <c r="B19" s="2" t="s">
        <v>18</v>
      </c>
      <c r="C19" s="2" t="s">
        <v>26</v>
      </c>
      <c r="D19" s="2" t="s">
        <v>27</v>
      </c>
      <c r="E19" s="2">
        <v>7</v>
      </c>
      <c r="F19" s="2">
        <v>184</v>
      </c>
      <c r="G19" s="2">
        <v>10</v>
      </c>
      <c r="H19" s="2" t="s">
        <v>35</v>
      </c>
      <c r="I19" s="2">
        <v>2025</v>
      </c>
      <c r="J19" s="2">
        <v>16382</v>
      </c>
      <c r="K19" s="2" t="s">
        <v>36</v>
      </c>
      <c r="L19" s="2" t="s">
        <v>33</v>
      </c>
      <c r="M19" s="2" t="s">
        <v>24</v>
      </c>
      <c r="N19" s="2">
        <v>42</v>
      </c>
      <c r="O19" s="2">
        <v>5</v>
      </c>
      <c r="P19" s="2">
        <v>1288</v>
      </c>
      <c r="Q19" s="2">
        <v>128.80000000000001</v>
      </c>
      <c r="R19" s="2">
        <v>1159.2</v>
      </c>
    </row>
    <row r="20" spans="1:18">
      <c r="A20" s="2">
        <v>19</v>
      </c>
      <c r="B20" s="2" t="s">
        <v>18</v>
      </c>
      <c r="C20" s="2" t="s">
        <v>19</v>
      </c>
      <c r="D20" s="2" t="s">
        <v>40</v>
      </c>
      <c r="E20" s="2">
        <v>14</v>
      </c>
      <c r="F20" s="2">
        <v>177</v>
      </c>
      <c r="G20" s="2">
        <v>0</v>
      </c>
      <c r="H20" s="2" t="s">
        <v>32</v>
      </c>
      <c r="I20" s="2">
        <v>2025</v>
      </c>
      <c r="J20" s="2">
        <v>9491</v>
      </c>
      <c r="K20" s="2" t="s">
        <v>22</v>
      </c>
      <c r="L20" s="2" t="s">
        <v>29</v>
      </c>
      <c r="M20" s="2" t="s">
        <v>37</v>
      </c>
      <c r="N20" s="2">
        <v>50</v>
      </c>
      <c r="O20" s="2">
        <v>16</v>
      </c>
      <c r="P20" s="2">
        <v>2478</v>
      </c>
      <c r="Q20" s="2">
        <v>0</v>
      </c>
      <c r="R20" s="2">
        <v>2478</v>
      </c>
    </row>
    <row r="21" spans="1:18">
      <c r="A21" s="2">
        <v>20</v>
      </c>
      <c r="B21" s="2" t="s">
        <v>43</v>
      </c>
      <c r="C21" s="2" t="s">
        <v>31</v>
      </c>
      <c r="D21" s="2" t="s">
        <v>20</v>
      </c>
      <c r="E21" s="2">
        <v>19</v>
      </c>
      <c r="F21" s="2">
        <v>556</v>
      </c>
      <c r="G21" s="2">
        <v>15</v>
      </c>
      <c r="H21" s="2" t="s">
        <v>28</v>
      </c>
      <c r="I21" s="2">
        <v>2025</v>
      </c>
      <c r="J21" s="2">
        <v>6555</v>
      </c>
      <c r="K21" s="2" t="s">
        <v>22</v>
      </c>
      <c r="L21" s="2" t="s">
        <v>29</v>
      </c>
      <c r="M21" s="2" t="s">
        <v>30</v>
      </c>
      <c r="N21" s="2">
        <v>17</v>
      </c>
      <c r="O21" s="2">
        <v>24</v>
      </c>
      <c r="P21" s="2">
        <v>10564</v>
      </c>
      <c r="Q21" s="2">
        <v>1584.6</v>
      </c>
      <c r="R21" s="2">
        <v>8979.4</v>
      </c>
    </row>
    <row r="22" spans="1:18">
      <c r="A22" s="2">
        <v>21</v>
      </c>
      <c r="B22" s="2" t="s">
        <v>34</v>
      </c>
      <c r="C22" s="2" t="s">
        <v>19</v>
      </c>
      <c r="D22" s="2" t="s">
        <v>42</v>
      </c>
      <c r="E22" s="2">
        <v>15</v>
      </c>
      <c r="F22" s="2">
        <v>977</v>
      </c>
      <c r="G22" s="2">
        <v>10</v>
      </c>
      <c r="H22" s="2" t="s">
        <v>28</v>
      </c>
      <c r="I22" s="2">
        <v>2023</v>
      </c>
      <c r="J22" s="2">
        <v>19596</v>
      </c>
      <c r="K22" s="2" t="s">
        <v>36</v>
      </c>
      <c r="L22" s="2" t="s">
        <v>29</v>
      </c>
      <c r="M22" s="2" t="s">
        <v>24</v>
      </c>
      <c r="N22" s="2">
        <v>20</v>
      </c>
      <c r="O22" s="2">
        <v>27</v>
      </c>
      <c r="P22" s="2">
        <v>14655</v>
      </c>
      <c r="Q22" s="2">
        <v>1465.5</v>
      </c>
      <c r="R22" s="2">
        <v>13189.5</v>
      </c>
    </row>
    <row r="23" spans="1:18">
      <c r="A23" s="2">
        <v>22</v>
      </c>
      <c r="B23" s="2" t="s">
        <v>34</v>
      </c>
      <c r="C23" s="2" t="s">
        <v>19</v>
      </c>
      <c r="D23" s="2" t="s">
        <v>20</v>
      </c>
      <c r="E23" s="2">
        <v>16</v>
      </c>
      <c r="F23" s="2">
        <v>100</v>
      </c>
      <c r="G23" s="2">
        <v>10</v>
      </c>
      <c r="H23" s="2" t="s">
        <v>41</v>
      </c>
      <c r="I23" s="2">
        <v>2025</v>
      </c>
      <c r="J23" s="2">
        <v>5804</v>
      </c>
      <c r="K23" s="2" t="s">
        <v>22</v>
      </c>
      <c r="L23" s="2" t="s">
        <v>29</v>
      </c>
      <c r="M23" s="2" t="s">
        <v>30</v>
      </c>
      <c r="N23" s="2">
        <v>95</v>
      </c>
      <c r="O23" s="2">
        <v>1</v>
      </c>
      <c r="P23" s="2">
        <v>1600</v>
      </c>
      <c r="Q23" s="2">
        <v>160</v>
      </c>
      <c r="R23" s="2">
        <v>1440</v>
      </c>
    </row>
    <row r="24" spans="1:18">
      <c r="A24" s="2">
        <v>23</v>
      </c>
      <c r="B24" s="2" t="s">
        <v>43</v>
      </c>
      <c r="C24" s="2" t="s">
        <v>31</v>
      </c>
      <c r="D24" s="2" t="s">
        <v>20</v>
      </c>
      <c r="E24" s="2">
        <v>5</v>
      </c>
      <c r="F24" s="2">
        <v>150</v>
      </c>
      <c r="G24" s="2">
        <v>10</v>
      </c>
      <c r="H24" s="2" t="s">
        <v>21</v>
      </c>
      <c r="I24" s="2">
        <v>2023</v>
      </c>
      <c r="J24" s="2">
        <v>18221</v>
      </c>
      <c r="K24" s="2" t="s">
        <v>22</v>
      </c>
      <c r="L24" s="2" t="s">
        <v>33</v>
      </c>
      <c r="M24" s="2" t="s">
        <v>37</v>
      </c>
      <c r="N24" s="2">
        <v>60</v>
      </c>
      <c r="O24" s="2">
        <v>34</v>
      </c>
      <c r="P24" s="2">
        <v>750</v>
      </c>
      <c r="Q24" s="2">
        <v>75</v>
      </c>
      <c r="R24" s="2">
        <v>675</v>
      </c>
    </row>
    <row r="25" spans="1:18">
      <c r="A25" s="2">
        <v>24</v>
      </c>
      <c r="B25" s="2" t="s">
        <v>25</v>
      </c>
      <c r="C25" s="2" t="s">
        <v>39</v>
      </c>
      <c r="D25" s="2" t="s">
        <v>42</v>
      </c>
      <c r="E25" s="2">
        <v>3</v>
      </c>
      <c r="F25" s="2">
        <v>784</v>
      </c>
      <c r="G25" s="2">
        <v>15</v>
      </c>
      <c r="H25" s="2" t="s">
        <v>21</v>
      </c>
      <c r="I25" s="2">
        <v>2023</v>
      </c>
      <c r="J25" s="2">
        <v>6279</v>
      </c>
      <c r="K25" s="2" t="s">
        <v>22</v>
      </c>
      <c r="L25" s="2" t="s">
        <v>23</v>
      </c>
      <c r="M25" s="2" t="s">
        <v>24</v>
      </c>
      <c r="N25" s="2">
        <v>97</v>
      </c>
      <c r="O25" s="2">
        <v>36</v>
      </c>
      <c r="P25" s="2">
        <v>2352</v>
      </c>
      <c r="Q25" s="2">
        <v>352.8</v>
      </c>
      <c r="R25" s="2">
        <v>1999.2</v>
      </c>
    </row>
    <row r="26" spans="1:18">
      <c r="A26" s="2">
        <v>25</v>
      </c>
      <c r="B26" s="2" t="s">
        <v>18</v>
      </c>
      <c r="C26" s="2" t="s">
        <v>19</v>
      </c>
      <c r="D26" s="2" t="s">
        <v>27</v>
      </c>
      <c r="E26" s="2">
        <v>12</v>
      </c>
      <c r="F26" s="2">
        <v>816</v>
      </c>
      <c r="G26" s="2">
        <v>5</v>
      </c>
      <c r="H26" s="2" t="s">
        <v>32</v>
      </c>
      <c r="I26" s="2">
        <v>2023</v>
      </c>
      <c r="J26" s="2">
        <v>19045</v>
      </c>
      <c r="K26" s="2" t="s">
        <v>22</v>
      </c>
      <c r="L26" s="2" t="s">
        <v>29</v>
      </c>
      <c r="M26" s="2" t="s">
        <v>24</v>
      </c>
      <c r="N26" s="2">
        <v>50</v>
      </c>
      <c r="O26" s="2">
        <v>4</v>
      </c>
      <c r="P26" s="2">
        <v>9792</v>
      </c>
      <c r="Q26" s="2">
        <v>489.6</v>
      </c>
      <c r="R26" s="2">
        <v>9302.4</v>
      </c>
    </row>
    <row r="27" spans="1:18">
      <c r="A27" s="2">
        <v>26</v>
      </c>
      <c r="B27" s="2" t="s">
        <v>38</v>
      </c>
      <c r="C27" s="2" t="s">
        <v>39</v>
      </c>
      <c r="D27" s="2" t="s">
        <v>20</v>
      </c>
      <c r="E27" s="2">
        <v>4</v>
      </c>
      <c r="F27" s="2">
        <v>871</v>
      </c>
      <c r="G27" s="2">
        <v>5</v>
      </c>
      <c r="H27" s="2" t="s">
        <v>21</v>
      </c>
      <c r="I27" s="2">
        <v>2024</v>
      </c>
      <c r="J27" s="2">
        <v>18192</v>
      </c>
      <c r="K27" s="2" t="s">
        <v>22</v>
      </c>
      <c r="L27" s="2" t="s">
        <v>23</v>
      </c>
      <c r="M27" s="2" t="s">
        <v>24</v>
      </c>
      <c r="N27" s="2">
        <v>26</v>
      </c>
      <c r="O27" s="2">
        <v>0</v>
      </c>
      <c r="P27" s="2">
        <v>3484</v>
      </c>
      <c r="Q27" s="2">
        <v>174.2</v>
      </c>
      <c r="R27" s="2">
        <v>3309.8</v>
      </c>
    </row>
    <row r="28" spans="1:18">
      <c r="A28" s="2">
        <v>27</v>
      </c>
      <c r="B28" s="2" t="s">
        <v>18</v>
      </c>
      <c r="C28" s="2" t="s">
        <v>19</v>
      </c>
      <c r="D28" s="2" t="s">
        <v>40</v>
      </c>
      <c r="E28" s="2">
        <v>16</v>
      </c>
      <c r="F28" s="2">
        <v>545</v>
      </c>
      <c r="G28" s="2">
        <v>5</v>
      </c>
      <c r="H28" s="2" t="s">
        <v>35</v>
      </c>
      <c r="I28" s="2">
        <v>2023</v>
      </c>
      <c r="J28" s="2">
        <v>18364</v>
      </c>
      <c r="K28" s="2" t="s">
        <v>36</v>
      </c>
      <c r="L28" s="2" t="s">
        <v>29</v>
      </c>
      <c r="M28" s="2" t="s">
        <v>37</v>
      </c>
      <c r="N28" s="2">
        <v>85</v>
      </c>
      <c r="O28" s="2">
        <v>39</v>
      </c>
      <c r="P28" s="2">
        <v>8720</v>
      </c>
      <c r="Q28" s="2">
        <v>436</v>
      </c>
      <c r="R28" s="2">
        <v>8284</v>
      </c>
    </row>
    <row r="29" spans="1:18">
      <c r="A29" s="2">
        <v>28</v>
      </c>
      <c r="B29" s="2" t="s">
        <v>18</v>
      </c>
      <c r="C29" s="2" t="s">
        <v>39</v>
      </c>
      <c r="D29" s="2" t="s">
        <v>20</v>
      </c>
      <c r="E29" s="2">
        <v>7</v>
      </c>
      <c r="F29" s="2">
        <v>548</v>
      </c>
      <c r="G29" s="2">
        <v>15</v>
      </c>
      <c r="H29" s="2" t="s">
        <v>21</v>
      </c>
      <c r="I29" s="2">
        <v>2023</v>
      </c>
      <c r="J29" s="2">
        <v>12083</v>
      </c>
      <c r="K29" s="2" t="s">
        <v>22</v>
      </c>
      <c r="L29" s="2" t="s">
        <v>29</v>
      </c>
      <c r="M29" s="2" t="s">
        <v>30</v>
      </c>
      <c r="N29" s="2">
        <v>55</v>
      </c>
      <c r="O29" s="2">
        <v>11</v>
      </c>
      <c r="P29" s="2">
        <v>3836</v>
      </c>
      <c r="Q29" s="2">
        <v>575.4</v>
      </c>
      <c r="R29" s="2">
        <v>3260.6</v>
      </c>
    </row>
    <row r="30" spans="1:18">
      <c r="A30" s="2">
        <v>29</v>
      </c>
      <c r="B30" s="2" t="s">
        <v>25</v>
      </c>
      <c r="C30" s="2" t="s">
        <v>31</v>
      </c>
      <c r="D30" s="2" t="s">
        <v>42</v>
      </c>
      <c r="E30" s="2">
        <v>13</v>
      </c>
      <c r="F30" s="2">
        <v>980</v>
      </c>
      <c r="G30" s="2">
        <v>10</v>
      </c>
      <c r="H30" s="2" t="s">
        <v>32</v>
      </c>
      <c r="I30" s="2">
        <v>2024</v>
      </c>
      <c r="J30" s="2">
        <v>10986</v>
      </c>
      <c r="K30" s="2" t="s">
        <v>22</v>
      </c>
      <c r="L30" s="2" t="s">
        <v>23</v>
      </c>
      <c r="M30" s="2" t="s">
        <v>24</v>
      </c>
      <c r="N30" s="2">
        <v>41</v>
      </c>
      <c r="O30" s="2">
        <v>35</v>
      </c>
      <c r="P30" s="2">
        <v>12740</v>
      </c>
      <c r="Q30" s="2">
        <v>1274</v>
      </c>
      <c r="R30" s="2">
        <v>11466</v>
      </c>
    </row>
    <row r="31" spans="1:18">
      <c r="A31" s="2">
        <v>30</v>
      </c>
      <c r="B31" s="2" t="s">
        <v>18</v>
      </c>
      <c r="C31" s="2" t="s">
        <v>19</v>
      </c>
      <c r="D31" s="2" t="s">
        <v>42</v>
      </c>
      <c r="E31" s="2">
        <v>10</v>
      </c>
      <c r="F31" s="2">
        <v>587</v>
      </c>
      <c r="G31" s="2">
        <v>5</v>
      </c>
      <c r="H31" s="2" t="s">
        <v>21</v>
      </c>
      <c r="I31" s="2">
        <v>2023</v>
      </c>
      <c r="J31" s="2">
        <v>10619</v>
      </c>
      <c r="K31" s="2" t="s">
        <v>22</v>
      </c>
      <c r="L31" s="2" t="s">
        <v>33</v>
      </c>
      <c r="M31" s="2" t="s">
        <v>37</v>
      </c>
      <c r="N31" s="2">
        <v>88</v>
      </c>
      <c r="O31" s="2">
        <v>44</v>
      </c>
      <c r="P31" s="2">
        <v>5870</v>
      </c>
      <c r="Q31" s="2">
        <v>293.5</v>
      </c>
      <c r="R31" s="2">
        <v>5576.5</v>
      </c>
    </row>
    <row r="32" spans="1:18">
      <c r="A32" s="2">
        <v>31</v>
      </c>
      <c r="B32" s="2" t="s">
        <v>43</v>
      </c>
      <c r="C32" s="2" t="s">
        <v>31</v>
      </c>
      <c r="D32" s="2" t="s">
        <v>42</v>
      </c>
      <c r="E32" s="2">
        <v>7</v>
      </c>
      <c r="F32" s="2">
        <v>899</v>
      </c>
      <c r="G32" s="2">
        <v>15</v>
      </c>
      <c r="H32" s="2" t="s">
        <v>35</v>
      </c>
      <c r="I32" s="2">
        <v>2025</v>
      </c>
      <c r="J32" s="2">
        <v>16769</v>
      </c>
      <c r="K32" s="2" t="s">
        <v>22</v>
      </c>
      <c r="L32" s="2" t="s">
        <v>29</v>
      </c>
      <c r="M32" s="2" t="s">
        <v>30</v>
      </c>
      <c r="N32" s="2">
        <v>89</v>
      </c>
      <c r="O32" s="2">
        <v>22</v>
      </c>
      <c r="P32" s="2">
        <v>6293</v>
      </c>
      <c r="Q32" s="2">
        <v>943.95</v>
      </c>
      <c r="R32" s="2">
        <v>5349.05</v>
      </c>
    </row>
    <row r="33" spans="1:18">
      <c r="A33" s="2">
        <v>32</v>
      </c>
      <c r="B33" s="2" t="s">
        <v>43</v>
      </c>
      <c r="C33" s="2" t="s">
        <v>19</v>
      </c>
      <c r="D33" s="2" t="s">
        <v>27</v>
      </c>
      <c r="E33" s="2">
        <v>14</v>
      </c>
      <c r="F33" s="2">
        <v>133</v>
      </c>
      <c r="G33" s="2">
        <v>5</v>
      </c>
      <c r="H33" s="2" t="s">
        <v>41</v>
      </c>
      <c r="I33" s="2">
        <v>2025</v>
      </c>
      <c r="J33" s="2">
        <v>16093</v>
      </c>
      <c r="K33" s="2" t="s">
        <v>36</v>
      </c>
      <c r="L33" s="2" t="s">
        <v>29</v>
      </c>
      <c r="M33" s="2" t="s">
        <v>37</v>
      </c>
      <c r="N33" s="2">
        <v>63</v>
      </c>
      <c r="O33" s="2">
        <v>46</v>
      </c>
      <c r="P33" s="2">
        <v>1862</v>
      </c>
      <c r="Q33" s="2">
        <v>93.1</v>
      </c>
      <c r="R33" s="2">
        <v>1768.9</v>
      </c>
    </row>
    <row r="34" spans="1:18">
      <c r="A34" s="2">
        <v>33</v>
      </c>
      <c r="B34" s="2" t="s">
        <v>34</v>
      </c>
      <c r="C34" s="2" t="s">
        <v>31</v>
      </c>
      <c r="D34" s="2" t="s">
        <v>20</v>
      </c>
      <c r="E34" s="2">
        <v>5</v>
      </c>
      <c r="F34" s="2">
        <v>447</v>
      </c>
      <c r="G34" s="2">
        <v>0</v>
      </c>
      <c r="H34" s="2" t="s">
        <v>32</v>
      </c>
      <c r="I34" s="2">
        <v>2023</v>
      </c>
      <c r="J34" s="2">
        <v>6387</v>
      </c>
      <c r="K34" s="2" t="s">
        <v>36</v>
      </c>
      <c r="L34" s="2" t="s">
        <v>29</v>
      </c>
      <c r="M34" s="2" t="s">
        <v>30</v>
      </c>
      <c r="N34" s="2">
        <v>95</v>
      </c>
      <c r="O34" s="2">
        <v>30</v>
      </c>
      <c r="P34" s="2">
        <v>2235</v>
      </c>
      <c r="Q34" s="2">
        <v>0</v>
      </c>
      <c r="R34" s="2">
        <v>2235</v>
      </c>
    </row>
    <row r="35" spans="1:18">
      <c r="A35" s="2">
        <v>34</v>
      </c>
      <c r="B35" s="2" t="s">
        <v>38</v>
      </c>
      <c r="C35" s="2" t="s">
        <v>31</v>
      </c>
      <c r="D35" s="2" t="s">
        <v>27</v>
      </c>
      <c r="E35" s="2">
        <v>3</v>
      </c>
      <c r="F35" s="2">
        <v>194</v>
      </c>
      <c r="G35" s="2">
        <v>5</v>
      </c>
      <c r="H35" s="2" t="s">
        <v>41</v>
      </c>
      <c r="I35" s="2">
        <v>2024</v>
      </c>
      <c r="J35" s="2">
        <v>18591</v>
      </c>
      <c r="K35" s="2" t="s">
        <v>36</v>
      </c>
      <c r="L35" s="2" t="s">
        <v>23</v>
      </c>
      <c r="M35" s="2" t="s">
        <v>37</v>
      </c>
      <c r="N35" s="2">
        <v>29</v>
      </c>
      <c r="O35" s="2">
        <v>10</v>
      </c>
      <c r="P35" s="2">
        <v>582</v>
      </c>
      <c r="Q35" s="2">
        <v>29.1</v>
      </c>
      <c r="R35" s="2">
        <v>552.9</v>
      </c>
    </row>
    <row r="36" spans="1:18">
      <c r="A36" s="2">
        <v>35</v>
      </c>
      <c r="B36" s="2" t="s">
        <v>18</v>
      </c>
      <c r="C36" s="2" t="s">
        <v>19</v>
      </c>
      <c r="D36" s="2" t="s">
        <v>27</v>
      </c>
      <c r="E36" s="2">
        <v>11</v>
      </c>
      <c r="F36" s="2">
        <v>171</v>
      </c>
      <c r="G36" s="2">
        <v>5</v>
      </c>
      <c r="H36" s="2" t="s">
        <v>41</v>
      </c>
      <c r="I36" s="2">
        <v>2025</v>
      </c>
      <c r="J36" s="2">
        <v>17880</v>
      </c>
      <c r="K36" s="2" t="s">
        <v>36</v>
      </c>
      <c r="L36" s="2" t="s">
        <v>33</v>
      </c>
      <c r="M36" s="2" t="s">
        <v>30</v>
      </c>
      <c r="N36" s="2">
        <v>42</v>
      </c>
      <c r="O36" s="2">
        <v>9</v>
      </c>
      <c r="P36" s="2">
        <v>1881</v>
      </c>
      <c r="Q36" s="2">
        <v>94.05</v>
      </c>
      <c r="R36" s="2">
        <v>1786.95</v>
      </c>
    </row>
    <row r="37" spans="1:18">
      <c r="A37" s="2">
        <v>36</v>
      </c>
      <c r="B37" s="2" t="s">
        <v>18</v>
      </c>
      <c r="C37" s="2" t="s">
        <v>19</v>
      </c>
      <c r="D37" s="2" t="s">
        <v>42</v>
      </c>
      <c r="E37" s="2">
        <v>11</v>
      </c>
      <c r="F37" s="2">
        <v>650</v>
      </c>
      <c r="G37" s="2">
        <v>10</v>
      </c>
      <c r="H37" s="2" t="s">
        <v>41</v>
      </c>
      <c r="I37" s="2">
        <v>2024</v>
      </c>
      <c r="J37" s="2">
        <v>15953</v>
      </c>
      <c r="K37" s="2" t="s">
        <v>22</v>
      </c>
      <c r="L37" s="2" t="s">
        <v>23</v>
      </c>
      <c r="M37" s="2" t="s">
        <v>24</v>
      </c>
      <c r="N37" s="2">
        <v>83</v>
      </c>
      <c r="O37" s="2">
        <v>2</v>
      </c>
      <c r="P37" s="2">
        <v>7150</v>
      </c>
      <c r="Q37" s="2">
        <v>715</v>
      </c>
      <c r="R37" s="2">
        <v>6435</v>
      </c>
    </row>
    <row r="38" spans="1:18">
      <c r="A38" s="2">
        <v>37</v>
      </c>
      <c r="B38" s="2" t="s">
        <v>25</v>
      </c>
      <c r="C38" s="2" t="s">
        <v>19</v>
      </c>
      <c r="D38" s="2" t="s">
        <v>42</v>
      </c>
      <c r="E38" s="2">
        <v>18</v>
      </c>
      <c r="F38" s="2">
        <v>253</v>
      </c>
      <c r="G38" s="2">
        <v>15</v>
      </c>
      <c r="H38" s="2" t="s">
        <v>28</v>
      </c>
      <c r="I38" s="2">
        <v>2024</v>
      </c>
      <c r="J38" s="2">
        <v>7679</v>
      </c>
      <c r="K38" s="2" t="s">
        <v>36</v>
      </c>
      <c r="L38" s="2" t="s">
        <v>23</v>
      </c>
      <c r="M38" s="2" t="s">
        <v>30</v>
      </c>
      <c r="N38" s="2">
        <v>49</v>
      </c>
      <c r="O38" s="2">
        <v>13</v>
      </c>
      <c r="P38" s="2">
        <v>4554</v>
      </c>
      <c r="Q38" s="2">
        <v>683.1</v>
      </c>
      <c r="R38" s="2">
        <v>3870.9</v>
      </c>
    </row>
    <row r="39" spans="1:18">
      <c r="A39" s="2">
        <v>38</v>
      </c>
      <c r="B39" s="2" t="s">
        <v>43</v>
      </c>
      <c r="C39" s="2" t="s">
        <v>26</v>
      </c>
      <c r="D39" s="2" t="s">
        <v>27</v>
      </c>
      <c r="E39" s="2">
        <v>15</v>
      </c>
      <c r="F39" s="2">
        <v>349</v>
      </c>
      <c r="G39" s="2">
        <v>10</v>
      </c>
      <c r="H39" s="2" t="s">
        <v>28</v>
      </c>
      <c r="I39" s="2">
        <v>2025</v>
      </c>
      <c r="J39" s="2">
        <v>7106</v>
      </c>
      <c r="K39" s="2" t="s">
        <v>22</v>
      </c>
      <c r="L39" s="2" t="s">
        <v>33</v>
      </c>
      <c r="M39" s="2" t="s">
        <v>37</v>
      </c>
      <c r="N39" s="2">
        <v>41</v>
      </c>
      <c r="O39" s="2">
        <v>15</v>
      </c>
      <c r="P39" s="2">
        <v>5235</v>
      </c>
      <c r="Q39" s="2">
        <v>523.5</v>
      </c>
      <c r="R39" s="2">
        <v>4711.5</v>
      </c>
    </row>
    <row r="40" spans="1:18">
      <c r="A40" s="2">
        <v>39</v>
      </c>
      <c r="B40" s="2" t="s">
        <v>38</v>
      </c>
      <c r="C40" s="2" t="s">
        <v>39</v>
      </c>
      <c r="D40" s="2" t="s">
        <v>20</v>
      </c>
      <c r="E40" s="2">
        <v>12</v>
      </c>
      <c r="F40" s="2">
        <v>773</v>
      </c>
      <c r="G40" s="2">
        <v>10</v>
      </c>
      <c r="H40" s="2" t="s">
        <v>41</v>
      </c>
      <c r="I40" s="2">
        <v>2024</v>
      </c>
      <c r="J40" s="2">
        <v>13173</v>
      </c>
      <c r="K40" s="2" t="s">
        <v>22</v>
      </c>
      <c r="L40" s="2" t="s">
        <v>23</v>
      </c>
      <c r="M40" s="2" t="s">
        <v>37</v>
      </c>
      <c r="N40" s="2">
        <v>11</v>
      </c>
      <c r="O40" s="2">
        <v>9</v>
      </c>
      <c r="P40" s="2">
        <v>9276</v>
      </c>
      <c r="Q40" s="2">
        <v>927.6</v>
      </c>
      <c r="R40" s="2">
        <v>8348.4</v>
      </c>
    </row>
    <row r="41" spans="1:18">
      <c r="A41" s="2">
        <v>40</v>
      </c>
      <c r="B41" s="2" t="s">
        <v>34</v>
      </c>
      <c r="C41" s="2" t="s">
        <v>26</v>
      </c>
      <c r="D41" s="2" t="s">
        <v>40</v>
      </c>
      <c r="E41" s="2">
        <v>9</v>
      </c>
      <c r="F41" s="2">
        <v>537</v>
      </c>
      <c r="G41" s="2">
        <v>10</v>
      </c>
      <c r="H41" s="2" t="s">
        <v>32</v>
      </c>
      <c r="I41" s="2">
        <v>2025</v>
      </c>
      <c r="J41" s="2">
        <v>9223</v>
      </c>
      <c r="K41" s="2" t="s">
        <v>22</v>
      </c>
      <c r="L41" s="2" t="s">
        <v>33</v>
      </c>
      <c r="M41" s="2" t="s">
        <v>30</v>
      </c>
      <c r="N41" s="2">
        <v>42</v>
      </c>
      <c r="O41" s="2">
        <v>28</v>
      </c>
      <c r="P41" s="2">
        <v>4833</v>
      </c>
      <c r="Q41" s="2">
        <v>483.3</v>
      </c>
      <c r="R41" s="2">
        <v>4349.7</v>
      </c>
    </row>
    <row r="42" spans="1:18">
      <c r="A42" s="2">
        <v>41</v>
      </c>
      <c r="B42" s="2" t="s">
        <v>43</v>
      </c>
      <c r="C42" s="2" t="s">
        <v>26</v>
      </c>
      <c r="D42" s="2" t="s">
        <v>27</v>
      </c>
      <c r="E42" s="2">
        <v>10</v>
      </c>
      <c r="F42" s="2">
        <v>217</v>
      </c>
      <c r="G42" s="2">
        <v>10</v>
      </c>
      <c r="H42" s="2" t="s">
        <v>35</v>
      </c>
      <c r="I42" s="2">
        <v>2024</v>
      </c>
      <c r="J42" s="2">
        <v>9831</v>
      </c>
      <c r="K42" s="2" t="s">
        <v>22</v>
      </c>
      <c r="L42" s="2" t="s">
        <v>29</v>
      </c>
      <c r="M42" s="2" t="s">
        <v>24</v>
      </c>
      <c r="N42" s="2">
        <v>86</v>
      </c>
      <c r="O42" s="2">
        <v>9</v>
      </c>
      <c r="P42" s="2">
        <v>2170</v>
      </c>
      <c r="Q42" s="2">
        <v>217</v>
      </c>
      <c r="R42" s="2">
        <v>1953</v>
      </c>
    </row>
    <row r="43" spans="1:18">
      <c r="A43" s="2">
        <v>42</v>
      </c>
      <c r="B43" s="2" t="s">
        <v>34</v>
      </c>
      <c r="C43" s="2" t="s">
        <v>31</v>
      </c>
      <c r="D43" s="2" t="s">
        <v>20</v>
      </c>
      <c r="E43" s="2">
        <v>12</v>
      </c>
      <c r="F43" s="2">
        <v>870</v>
      </c>
      <c r="G43" s="2">
        <v>10</v>
      </c>
      <c r="H43" s="2" t="s">
        <v>35</v>
      </c>
      <c r="I43" s="2">
        <v>2025</v>
      </c>
      <c r="J43" s="2">
        <v>7768</v>
      </c>
      <c r="K43" s="2" t="s">
        <v>22</v>
      </c>
      <c r="L43" s="2" t="s">
        <v>33</v>
      </c>
      <c r="M43" s="2" t="s">
        <v>24</v>
      </c>
      <c r="N43" s="2">
        <v>39</v>
      </c>
      <c r="O43" s="2">
        <v>11</v>
      </c>
      <c r="P43" s="2">
        <v>10440</v>
      </c>
      <c r="Q43" s="2">
        <v>1044</v>
      </c>
      <c r="R43" s="2">
        <v>9396</v>
      </c>
    </row>
    <row r="44" spans="1:18">
      <c r="A44" s="2">
        <v>43</v>
      </c>
      <c r="B44" s="2" t="s">
        <v>25</v>
      </c>
      <c r="C44" s="2" t="s">
        <v>19</v>
      </c>
      <c r="D44" s="2" t="s">
        <v>42</v>
      </c>
      <c r="E44" s="2">
        <v>17</v>
      </c>
      <c r="F44" s="2">
        <v>990</v>
      </c>
      <c r="G44" s="2">
        <v>5</v>
      </c>
      <c r="H44" s="2" t="s">
        <v>21</v>
      </c>
      <c r="I44" s="2">
        <v>2023</v>
      </c>
      <c r="J44" s="2">
        <v>17145</v>
      </c>
      <c r="K44" s="2" t="s">
        <v>36</v>
      </c>
      <c r="L44" s="2" t="s">
        <v>29</v>
      </c>
      <c r="M44" s="2" t="s">
        <v>30</v>
      </c>
      <c r="N44" s="2">
        <v>42</v>
      </c>
      <c r="O44" s="2">
        <v>29</v>
      </c>
      <c r="P44" s="2">
        <v>16830</v>
      </c>
      <c r="Q44" s="2">
        <v>841.5</v>
      </c>
      <c r="R44" s="2">
        <v>15988.5</v>
      </c>
    </row>
    <row r="45" spans="1:18">
      <c r="A45" s="2">
        <v>44</v>
      </c>
      <c r="B45" s="2" t="s">
        <v>25</v>
      </c>
      <c r="C45" s="2" t="s">
        <v>39</v>
      </c>
      <c r="D45" s="2" t="s">
        <v>42</v>
      </c>
      <c r="E45" s="2">
        <v>6</v>
      </c>
      <c r="F45" s="2">
        <v>405</v>
      </c>
      <c r="G45" s="2">
        <v>10</v>
      </c>
      <c r="H45" s="2" t="s">
        <v>32</v>
      </c>
      <c r="I45" s="2">
        <v>2025</v>
      </c>
      <c r="J45" s="2">
        <v>8186</v>
      </c>
      <c r="K45" s="2" t="s">
        <v>36</v>
      </c>
      <c r="L45" s="2" t="s">
        <v>23</v>
      </c>
      <c r="M45" s="2" t="s">
        <v>30</v>
      </c>
      <c r="N45" s="2">
        <v>86</v>
      </c>
      <c r="O45" s="2">
        <v>40</v>
      </c>
      <c r="P45" s="2">
        <v>2430</v>
      </c>
      <c r="Q45" s="2">
        <v>243</v>
      </c>
      <c r="R45" s="2">
        <v>2187</v>
      </c>
    </row>
    <row r="46" spans="1:18">
      <c r="A46" s="2">
        <v>45</v>
      </c>
      <c r="B46" s="2" t="s">
        <v>18</v>
      </c>
      <c r="C46" s="2" t="s">
        <v>31</v>
      </c>
      <c r="D46" s="2" t="s">
        <v>20</v>
      </c>
      <c r="E46" s="2">
        <v>7</v>
      </c>
      <c r="F46" s="2">
        <v>367</v>
      </c>
      <c r="G46" s="2">
        <v>10</v>
      </c>
      <c r="H46" s="2" t="s">
        <v>28</v>
      </c>
      <c r="I46" s="2">
        <v>2025</v>
      </c>
      <c r="J46" s="2">
        <v>16472</v>
      </c>
      <c r="K46" s="2" t="s">
        <v>36</v>
      </c>
      <c r="L46" s="2" t="s">
        <v>23</v>
      </c>
      <c r="M46" s="2" t="s">
        <v>37</v>
      </c>
      <c r="N46" s="2">
        <v>35</v>
      </c>
      <c r="O46" s="2">
        <v>0</v>
      </c>
      <c r="P46" s="2">
        <v>2569</v>
      </c>
      <c r="Q46" s="2">
        <v>256.89999999999998</v>
      </c>
      <c r="R46" s="2">
        <v>2312.1</v>
      </c>
    </row>
    <row r="47" spans="1:18">
      <c r="A47" s="2">
        <v>46</v>
      </c>
      <c r="B47" s="2" t="s">
        <v>38</v>
      </c>
      <c r="C47" s="2" t="s">
        <v>26</v>
      </c>
      <c r="D47" s="2" t="s">
        <v>40</v>
      </c>
      <c r="E47" s="2">
        <v>14</v>
      </c>
      <c r="F47" s="2">
        <v>153</v>
      </c>
      <c r="G47" s="2">
        <v>15</v>
      </c>
      <c r="H47" s="2" t="s">
        <v>41</v>
      </c>
      <c r="I47" s="2">
        <v>2025</v>
      </c>
      <c r="J47" s="2">
        <v>7573</v>
      </c>
      <c r="K47" s="2" t="s">
        <v>36</v>
      </c>
      <c r="L47" s="2" t="s">
        <v>29</v>
      </c>
      <c r="M47" s="2" t="s">
        <v>24</v>
      </c>
      <c r="N47" s="2">
        <v>31</v>
      </c>
      <c r="O47" s="2">
        <v>4</v>
      </c>
      <c r="P47" s="2">
        <v>2142</v>
      </c>
      <c r="Q47" s="2">
        <v>321.3</v>
      </c>
      <c r="R47" s="2">
        <v>1820.7</v>
      </c>
    </row>
    <row r="48" spans="1:18">
      <c r="A48" s="2">
        <v>47</v>
      </c>
      <c r="B48" s="2" t="s">
        <v>34</v>
      </c>
      <c r="C48" s="2" t="s">
        <v>19</v>
      </c>
      <c r="D48" s="2" t="s">
        <v>42</v>
      </c>
      <c r="E48" s="2">
        <v>13</v>
      </c>
      <c r="F48" s="2">
        <v>335</v>
      </c>
      <c r="G48" s="2">
        <v>0</v>
      </c>
      <c r="H48" s="2" t="s">
        <v>21</v>
      </c>
      <c r="I48" s="2">
        <v>2025</v>
      </c>
      <c r="J48" s="2">
        <v>17808</v>
      </c>
      <c r="K48" s="2" t="s">
        <v>22</v>
      </c>
      <c r="L48" s="2" t="s">
        <v>23</v>
      </c>
      <c r="M48" s="2" t="s">
        <v>30</v>
      </c>
      <c r="N48" s="2">
        <v>75</v>
      </c>
      <c r="O48" s="2">
        <v>19</v>
      </c>
      <c r="P48" s="2">
        <v>4355</v>
      </c>
      <c r="Q48" s="2">
        <v>0</v>
      </c>
      <c r="R48" s="2">
        <v>4355</v>
      </c>
    </row>
    <row r="49" spans="1:18">
      <c r="A49" s="2">
        <v>48</v>
      </c>
      <c r="B49" s="2" t="s">
        <v>43</v>
      </c>
      <c r="C49" s="2" t="s">
        <v>31</v>
      </c>
      <c r="D49" s="2" t="s">
        <v>42</v>
      </c>
      <c r="E49" s="2">
        <v>8</v>
      </c>
      <c r="F49" s="2">
        <v>488</v>
      </c>
      <c r="G49" s="2">
        <v>5</v>
      </c>
      <c r="H49" s="2" t="s">
        <v>35</v>
      </c>
      <c r="I49" s="2">
        <v>2024</v>
      </c>
      <c r="J49" s="2">
        <v>7599</v>
      </c>
      <c r="K49" s="2" t="s">
        <v>36</v>
      </c>
      <c r="L49" s="2" t="s">
        <v>33</v>
      </c>
      <c r="M49" s="2" t="s">
        <v>24</v>
      </c>
      <c r="N49" s="2">
        <v>47</v>
      </c>
      <c r="O49" s="2">
        <v>7</v>
      </c>
      <c r="P49" s="2">
        <v>3904</v>
      </c>
      <c r="Q49" s="2">
        <v>195.2</v>
      </c>
      <c r="R49" s="2">
        <v>3708.8</v>
      </c>
    </row>
    <row r="50" spans="1:18">
      <c r="A50" s="2">
        <v>49</v>
      </c>
      <c r="B50" s="2" t="s">
        <v>25</v>
      </c>
      <c r="C50" s="2" t="s">
        <v>19</v>
      </c>
      <c r="D50" s="2" t="s">
        <v>42</v>
      </c>
      <c r="E50" s="2">
        <v>10</v>
      </c>
      <c r="F50" s="2">
        <v>833</v>
      </c>
      <c r="G50" s="2">
        <v>5</v>
      </c>
      <c r="H50" s="2" t="s">
        <v>28</v>
      </c>
      <c r="I50" s="2">
        <v>2023</v>
      </c>
      <c r="J50" s="2">
        <v>9033</v>
      </c>
      <c r="K50" s="2" t="s">
        <v>22</v>
      </c>
      <c r="L50" s="2" t="s">
        <v>29</v>
      </c>
      <c r="M50" s="2" t="s">
        <v>30</v>
      </c>
      <c r="N50" s="2">
        <v>99</v>
      </c>
      <c r="O50" s="2">
        <v>42</v>
      </c>
      <c r="P50" s="2">
        <v>8330</v>
      </c>
      <c r="Q50" s="2">
        <v>416.5</v>
      </c>
      <c r="R50" s="2">
        <v>7913.5</v>
      </c>
    </row>
    <row r="51" spans="1:18">
      <c r="A51" s="2">
        <v>50</v>
      </c>
      <c r="B51" s="2" t="s">
        <v>18</v>
      </c>
      <c r="C51" s="2" t="s">
        <v>31</v>
      </c>
      <c r="D51" s="2" t="s">
        <v>20</v>
      </c>
      <c r="E51" s="2">
        <v>9</v>
      </c>
      <c r="F51" s="2">
        <v>862</v>
      </c>
      <c r="G51" s="2">
        <v>5</v>
      </c>
      <c r="H51" s="2" t="s">
        <v>28</v>
      </c>
      <c r="I51" s="2">
        <v>2025</v>
      </c>
      <c r="J51" s="2">
        <v>13428</v>
      </c>
      <c r="K51" s="2" t="s">
        <v>36</v>
      </c>
      <c r="L51" s="2" t="s">
        <v>23</v>
      </c>
      <c r="M51" s="2" t="s">
        <v>30</v>
      </c>
      <c r="N51" s="2">
        <v>55</v>
      </c>
      <c r="O51" s="2">
        <v>11</v>
      </c>
      <c r="P51" s="2">
        <v>7758</v>
      </c>
      <c r="Q51" s="2">
        <v>387.9</v>
      </c>
      <c r="R51" s="2">
        <v>7370.1</v>
      </c>
    </row>
    <row r="52" spans="1:18">
      <c r="A52" s="2">
        <v>51</v>
      </c>
      <c r="B52" s="2" t="s">
        <v>18</v>
      </c>
      <c r="C52" s="2" t="s">
        <v>19</v>
      </c>
      <c r="D52" s="2" t="s">
        <v>27</v>
      </c>
      <c r="E52" s="2">
        <v>18</v>
      </c>
      <c r="F52" s="2">
        <v>924</v>
      </c>
      <c r="G52" s="2">
        <v>10</v>
      </c>
      <c r="H52" s="2" t="s">
        <v>41</v>
      </c>
      <c r="I52" s="2">
        <v>2024</v>
      </c>
      <c r="J52" s="2">
        <v>6304</v>
      </c>
      <c r="K52" s="2" t="s">
        <v>22</v>
      </c>
      <c r="L52" s="2" t="s">
        <v>29</v>
      </c>
      <c r="M52" s="2" t="s">
        <v>24</v>
      </c>
      <c r="N52" s="2">
        <v>24</v>
      </c>
      <c r="O52" s="2">
        <v>0</v>
      </c>
      <c r="P52" s="2">
        <v>16632</v>
      </c>
      <c r="Q52" s="2">
        <v>1663.2</v>
      </c>
      <c r="R52" s="2">
        <v>14968.8</v>
      </c>
    </row>
    <row r="53" spans="1:18">
      <c r="A53" s="2">
        <v>52</v>
      </c>
      <c r="B53" s="2" t="s">
        <v>34</v>
      </c>
      <c r="C53" s="2" t="s">
        <v>26</v>
      </c>
      <c r="D53" s="2" t="s">
        <v>42</v>
      </c>
      <c r="E53" s="2">
        <v>2</v>
      </c>
      <c r="F53" s="2">
        <v>500</v>
      </c>
      <c r="G53" s="2">
        <v>10</v>
      </c>
      <c r="H53" s="2" t="s">
        <v>35</v>
      </c>
      <c r="I53" s="2">
        <v>2023</v>
      </c>
      <c r="J53" s="2">
        <v>16622</v>
      </c>
      <c r="K53" s="2" t="s">
        <v>22</v>
      </c>
      <c r="L53" s="2" t="s">
        <v>33</v>
      </c>
      <c r="M53" s="2" t="s">
        <v>30</v>
      </c>
      <c r="N53" s="2">
        <v>53</v>
      </c>
      <c r="O53" s="2">
        <v>19</v>
      </c>
      <c r="P53" s="2">
        <v>1000</v>
      </c>
      <c r="Q53" s="2">
        <v>100</v>
      </c>
      <c r="R53" s="2">
        <v>900</v>
      </c>
    </row>
    <row r="54" spans="1:18">
      <c r="A54" s="2">
        <v>53</v>
      </c>
      <c r="B54" s="2" t="s">
        <v>25</v>
      </c>
      <c r="C54" s="2" t="s">
        <v>39</v>
      </c>
      <c r="D54" s="2" t="s">
        <v>27</v>
      </c>
      <c r="E54" s="2">
        <v>5</v>
      </c>
      <c r="F54" s="2">
        <v>723</v>
      </c>
      <c r="G54" s="2">
        <v>10</v>
      </c>
      <c r="H54" s="2" t="s">
        <v>32</v>
      </c>
      <c r="I54" s="2">
        <v>2023</v>
      </c>
      <c r="J54" s="2">
        <v>12368</v>
      </c>
      <c r="K54" s="2" t="s">
        <v>36</v>
      </c>
      <c r="L54" s="2" t="s">
        <v>33</v>
      </c>
      <c r="M54" s="2" t="s">
        <v>30</v>
      </c>
      <c r="N54" s="2">
        <v>58</v>
      </c>
      <c r="O54" s="2">
        <v>27</v>
      </c>
      <c r="P54" s="2">
        <v>3615</v>
      </c>
      <c r="Q54" s="2">
        <v>361.5</v>
      </c>
      <c r="R54" s="2">
        <v>3253.5</v>
      </c>
    </row>
    <row r="55" spans="1:18">
      <c r="A55" s="2">
        <v>54</v>
      </c>
      <c r="B55" s="2" t="s">
        <v>38</v>
      </c>
      <c r="C55" s="2" t="s">
        <v>26</v>
      </c>
      <c r="D55" s="2" t="s">
        <v>40</v>
      </c>
      <c r="E55" s="2">
        <v>5</v>
      </c>
      <c r="F55" s="2">
        <v>866</v>
      </c>
      <c r="G55" s="2">
        <v>15</v>
      </c>
      <c r="H55" s="2" t="s">
        <v>28</v>
      </c>
      <c r="I55" s="2">
        <v>2023</v>
      </c>
      <c r="J55" s="2">
        <v>10877</v>
      </c>
      <c r="K55" s="2" t="s">
        <v>22</v>
      </c>
      <c r="L55" s="2" t="s">
        <v>23</v>
      </c>
      <c r="M55" s="2" t="s">
        <v>37</v>
      </c>
      <c r="N55" s="2">
        <v>84</v>
      </c>
      <c r="O55" s="2">
        <v>42</v>
      </c>
      <c r="P55" s="2">
        <v>4330</v>
      </c>
      <c r="Q55" s="2">
        <v>649.5</v>
      </c>
      <c r="R55" s="2">
        <v>3680.5</v>
      </c>
    </row>
    <row r="56" spans="1:18">
      <c r="A56" s="2">
        <v>55</v>
      </c>
      <c r="B56" s="2" t="s">
        <v>25</v>
      </c>
      <c r="C56" s="2" t="s">
        <v>39</v>
      </c>
      <c r="D56" s="2" t="s">
        <v>42</v>
      </c>
      <c r="E56" s="2">
        <v>6</v>
      </c>
      <c r="F56" s="2">
        <v>402</v>
      </c>
      <c r="G56" s="2">
        <v>0</v>
      </c>
      <c r="H56" s="2" t="s">
        <v>41</v>
      </c>
      <c r="I56" s="2">
        <v>2023</v>
      </c>
      <c r="J56" s="2">
        <v>6301</v>
      </c>
      <c r="K56" s="2" t="s">
        <v>22</v>
      </c>
      <c r="L56" s="2" t="s">
        <v>33</v>
      </c>
      <c r="M56" s="2" t="s">
        <v>30</v>
      </c>
      <c r="N56" s="2">
        <v>70</v>
      </c>
      <c r="O56" s="2">
        <v>36</v>
      </c>
      <c r="P56" s="2">
        <v>2412</v>
      </c>
      <c r="Q56" s="2">
        <v>0</v>
      </c>
      <c r="R56" s="2">
        <v>2412</v>
      </c>
    </row>
    <row r="57" spans="1:18">
      <c r="A57" s="2">
        <v>56</v>
      </c>
      <c r="B57" s="2" t="s">
        <v>34</v>
      </c>
      <c r="C57" s="2" t="s">
        <v>19</v>
      </c>
      <c r="D57" s="2" t="s">
        <v>42</v>
      </c>
      <c r="E57" s="2">
        <v>19</v>
      </c>
      <c r="F57" s="2">
        <v>306</v>
      </c>
      <c r="G57" s="2">
        <v>10</v>
      </c>
      <c r="H57" s="2" t="s">
        <v>32</v>
      </c>
      <c r="I57" s="2">
        <v>2025</v>
      </c>
      <c r="J57" s="2">
        <v>7541</v>
      </c>
      <c r="K57" s="2" t="s">
        <v>36</v>
      </c>
      <c r="L57" s="2" t="s">
        <v>29</v>
      </c>
      <c r="M57" s="2" t="s">
        <v>30</v>
      </c>
      <c r="N57" s="2">
        <v>76</v>
      </c>
      <c r="O57" s="2">
        <v>46</v>
      </c>
      <c r="P57" s="2">
        <v>5814</v>
      </c>
      <c r="Q57" s="2">
        <v>581.4</v>
      </c>
      <c r="R57" s="2">
        <v>5232.6000000000004</v>
      </c>
    </row>
    <row r="58" spans="1:18">
      <c r="A58" s="2">
        <v>57</v>
      </c>
      <c r="B58" s="2" t="s">
        <v>34</v>
      </c>
      <c r="C58" s="2" t="s">
        <v>31</v>
      </c>
      <c r="D58" s="2" t="s">
        <v>40</v>
      </c>
      <c r="E58" s="2">
        <v>8</v>
      </c>
      <c r="F58" s="2">
        <v>328</v>
      </c>
      <c r="G58" s="2">
        <v>0</v>
      </c>
      <c r="H58" s="2" t="s">
        <v>35</v>
      </c>
      <c r="I58" s="2">
        <v>2025</v>
      </c>
      <c r="J58" s="2">
        <v>7051</v>
      </c>
      <c r="K58" s="2" t="s">
        <v>22</v>
      </c>
      <c r="L58" s="2" t="s">
        <v>33</v>
      </c>
      <c r="M58" s="2" t="s">
        <v>30</v>
      </c>
      <c r="N58" s="2">
        <v>15</v>
      </c>
      <c r="O58" s="2">
        <v>36</v>
      </c>
      <c r="P58" s="2">
        <v>2624</v>
      </c>
      <c r="Q58" s="2">
        <v>0</v>
      </c>
      <c r="R58" s="2">
        <v>2624</v>
      </c>
    </row>
    <row r="59" spans="1:18">
      <c r="A59" s="2">
        <v>58</v>
      </c>
      <c r="B59" s="2" t="s">
        <v>25</v>
      </c>
      <c r="C59" s="2" t="s">
        <v>26</v>
      </c>
      <c r="D59" s="2" t="s">
        <v>42</v>
      </c>
      <c r="E59" s="2">
        <v>16</v>
      </c>
      <c r="F59" s="2">
        <v>952</v>
      </c>
      <c r="G59" s="2">
        <v>15</v>
      </c>
      <c r="H59" s="2" t="s">
        <v>28</v>
      </c>
      <c r="I59" s="2">
        <v>2024</v>
      </c>
      <c r="J59" s="2">
        <v>11809</v>
      </c>
      <c r="K59" s="2" t="s">
        <v>36</v>
      </c>
      <c r="L59" s="2" t="s">
        <v>29</v>
      </c>
      <c r="M59" s="2" t="s">
        <v>37</v>
      </c>
      <c r="N59" s="2">
        <v>18</v>
      </c>
      <c r="O59" s="2">
        <v>11</v>
      </c>
      <c r="P59" s="2">
        <v>15232</v>
      </c>
      <c r="Q59" s="2">
        <v>2284.8000000000002</v>
      </c>
      <c r="R59" s="2">
        <v>12947.2</v>
      </c>
    </row>
    <row r="60" spans="1:18">
      <c r="A60" s="2">
        <v>59</v>
      </c>
      <c r="B60" s="2" t="s">
        <v>34</v>
      </c>
      <c r="C60" s="2" t="s">
        <v>39</v>
      </c>
      <c r="D60" s="2" t="s">
        <v>27</v>
      </c>
      <c r="E60" s="2">
        <v>13</v>
      </c>
      <c r="F60" s="2">
        <v>677</v>
      </c>
      <c r="G60" s="2">
        <v>5</v>
      </c>
      <c r="H60" s="2" t="s">
        <v>32</v>
      </c>
      <c r="I60" s="2">
        <v>2024</v>
      </c>
      <c r="J60" s="2">
        <v>13633</v>
      </c>
      <c r="K60" s="2" t="s">
        <v>36</v>
      </c>
      <c r="L60" s="2" t="s">
        <v>29</v>
      </c>
      <c r="M60" s="2" t="s">
        <v>24</v>
      </c>
      <c r="N60" s="2">
        <v>15</v>
      </c>
      <c r="O60" s="2">
        <v>36</v>
      </c>
      <c r="P60" s="2">
        <v>8801</v>
      </c>
      <c r="Q60" s="2">
        <v>440.05</v>
      </c>
      <c r="R60" s="2">
        <v>8360.9500000000007</v>
      </c>
    </row>
    <row r="61" spans="1:18">
      <c r="A61" s="2">
        <v>60</v>
      </c>
      <c r="B61" s="2" t="s">
        <v>25</v>
      </c>
      <c r="C61" s="2" t="s">
        <v>26</v>
      </c>
      <c r="D61" s="2" t="s">
        <v>20</v>
      </c>
      <c r="E61" s="2">
        <v>1</v>
      </c>
      <c r="F61" s="2">
        <v>174</v>
      </c>
      <c r="G61" s="2">
        <v>10</v>
      </c>
      <c r="H61" s="2" t="s">
        <v>32</v>
      </c>
      <c r="I61" s="2">
        <v>2024</v>
      </c>
      <c r="J61" s="2">
        <v>15268</v>
      </c>
      <c r="K61" s="2" t="s">
        <v>36</v>
      </c>
      <c r="L61" s="2" t="s">
        <v>33</v>
      </c>
      <c r="M61" s="2" t="s">
        <v>37</v>
      </c>
      <c r="N61" s="2">
        <v>82</v>
      </c>
      <c r="O61" s="2">
        <v>48</v>
      </c>
      <c r="P61" s="2">
        <v>174</v>
      </c>
      <c r="Q61" s="2">
        <v>17.399999999999999</v>
      </c>
      <c r="R61" s="2">
        <v>156.6</v>
      </c>
    </row>
    <row r="62" spans="1:18">
      <c r="A62" s="2">
        <v>61</v>
      </c>
      <c r="B62" s="2" t="s">
        <v>43</v>
      </c>
      <c r="C62" s="2" t="s">
        <v>39</v>
      </c>
      <c r="D62" s="2" t="s">
        <v>27</v>
      </c>
      <c r="E62" s="2">
        <v>17</v>
      </c>
      <c r="F62" s="2">
        <v>534</v>
      </c>
      <c r="G62" s="2">
        <v>0</v>
      </c>
      <c r="H62" s="2" t="s">
        <v>32</v>
      </c>
      <c r="I62" s="2">
        <v>2023</v>
      </c>
      <c r="J62" s="2">
        <v>16372</v>
      </c>
      <c r="K62" s="2" t="s">
        <v>22</v>
      </c>
      <c r="L62" s="2" t="s">
        <v>23</v>
      </c>
      <c r="M62" s="2" t="s">
        <v>37</v>
      </c>
      <c r="N62" s="2">
        <v>41</v>
      </c>
      <c r="O62" s="2">
        <v>48</v>
      </c>
      <c r="P62" s="2">
        <v>9078</v>
      </c>
      <c r="Q62" s="2">
        <v>0</v>
      </c>
      <c r="R62" s="2">
        <v>9078</v>
      </c>
    </row>
    <row r="63" spans="1:18">
      <c r="A63" s="2">
        <v>62</v>
      </c>
      <c r="B63" s="2" t="s">
        <v>25</v>
      </c>
      <c r="C63" s="2" t="s">
        <v>26</v>
      </c>
      <c r="D63" s="2" t="s">
        <v>20</v>
      </c>
      <c r="E63" s="2">
        <v>7</v>
      </c>
      <c r="F63" s="2">
        <v>202</v>
      </c>
      <c r="G63" s="2">
        <v>0</v>
      </c>
      <c r="H63" s="2" t="s">
        <v>28</v>
      </c>
      <c r="I63" s="2">
        <v>2023</v>
      </c>
      <c r="J63" s="2">
        <v>15849</v>
      </c>
      <c r="K63" s="2" t="s">
        <v>22</v>
      </c>
      <c r="L63" s="2" t="s">
        <v>33</v>
      </c>
      <c r="M63" s="2" t="s">
        <v>24</v>
      </c>
      <c r="N63" s="2">
        <v>50</v>
      </c>
      <c r="O63" s="2">
        <v>43</v>
      </c>
      <c r="P63" s="2">
        <v>1414</v>
      </c>
      <c r="Q63" s="2">
        <v>0</v>
      </c>
      <c r="R63" s="2">
        <v>1414</v>
      </c>
    </row>
    <row r="64" spans="1:18">
      <c r="A64" s="2">
        <v>63</v>
      </c>
      <c r="B64" s="2" t="s">
        <v>25</v>
      </c>
      <c r="C64" s="2" t="s">
        <v>39</v>
      </c>
      <c r="D64" s="2" t="s">
        <v>20</v>
      </c>
      <c r="E64" s="2">
        <v>13</v>
      </c>
      <c r="F64" s="2">
        <v>521</v>
      </c>
      <c r="G64" s="2">
        <v>10</v>
      </c>
      <c r="H64" s="2" t="s">
        <v>28</v>
      </c>
      <c r="I64" s="2">
        <v>2025</v>
      </c>
      <c r="J64" s="2">
        <v>16990</v>
      </c>
      <c r="K64" s="2" t="s">
        <v>22</v>
      </c>
      <c r="L64" s="2" t="s">
        <v>29</v>
      </c>
      <c r="M64" s="2" t="s">
        <v>37</v>
      </c>
      <c r="N64" s="2">
        <v>85</v>
      </c>
      <c r="O64" s="2">
        <v>27</v>
      </c>
      <c r="P64" s="2">
        <v>6773</v>
      </c>
      <c r="Q64" s="2">
        <v>677.3</v>
      </c>
      <c r="R64" s="2">
        <v>6095.7</v>
      </c>
    </row>
    <row r="65" spans="1:18">
      <c r="A65" s="2">
        <v>64</v>
      </c>
      <c r="B65" s="2" t="s">
        <v>34</v>
      </c>
      <c r="C65" s="2" t="s">
        <v>39</v>
      </c>
      <c r="D65" s="2" t="s">
        <v>27</v>
      </c>
      <c r="E65" s="2">
        <v>4</v>
      </c>
      <c r="F65" s="2">
        <v>803</v>
      </c>
      <c r="G65" s="2">
        <v>5</v>
      </c>
      <c r="H65" s="2" t="s">
        <v>21</v>
      </c>
      <c r="I65" s="2">
        <v>2023</v>
      </c>
      <c r="J65" s="2">
        <v>13996</v>
      </c>
      <c r="K65" s="2" t="s">
        <v>36</v>
      </c>
      <c r="L65" s="2" t="s">
        <v>29</v>
      </c>
      <c r="M65" s="2" t="s">
        <v>24</v>
      </c>
      <c r="N65" s="2">
        <v>17</v>
      </c>
      <c r="O65" s="2">
        <v>46</v>
      </c>
      <c r="P65" s="2">
        <v>3212</v>
      </c>
      <c r="Q65" s="2">
        <v>160.6</v>
      </c>
      <c r="R65" s="2">
        <v>3051.4</v>
      </c>
    </row>
    <row r="66" spans="1:18">
      <c r="A66" s="2">
        <v>65</v>
      </c>
      <c r="B66" s="2" t="s">
        <v>34</v>
      </c>
      <c r="C66" s="2" t="s">
        <v>19</v>
      </c>
      <c r="D66" s="2" t="s">
        <v>27</v>
      </c>
      <c r="E66" s="2">
        <v>4</v>
      </c>
      <c r="F66" s="2">
        <v>863</v>
      </c>
      <c r="G66" s="2">
        <v>5</v>
      </c>
      <c r="H66" s="2" t="s">
        <v>35</v>
      </c>
      <c r="I66" s="2">
        <v>2023</v>
      </c>
      <c r="J66" s="2">
        <v>5074</v>
      </c>
      <c r="K66" s="2" t="s">
        <v>22</v>
      </c>
      <c r="L66" s="2" t="s">
        <v>33</v>
      </c>
      <c r="M66" s="2" t="s">
        <v>37</v>
      </c>
      <c r="N66" s="2">
        <v>81</v>
      </c>
      <c r="O66" s="2">
        <v>14</v>
      </c>
      <c r="P66" s="2">
        <v>3452</v>
      </c>
      <c r="Q66" s="2">
        <v>172.6</v>
      </c>
      <c r="R66" s="2">
        <v>3279.4</v>
      </c>
    </row>
    <row r="67" spans="1:18">
      <c r="A67" s="2">
        <v>66</v>
      </c>
      <c r="B67" s="2" t="s">
        <v>18</v>
      </c>
      <c r="C67" s="2" t="s">
        <v>39</v>
      </c>
      <c r="D67" s="2" t="s">
        <v>27</v>
      </c>
      <c r="E67" s="2">
        <v>6</v>
      </c>
      <c r="F67" s="2">
        <v>837</v>
      </c>
      <c r="G67" s="2">
        <v>5</v>
      </c>
      <c r="H67" s="2" t="s">
        <v>41</v>
      </c>
      <c r="I67" s="2">
        <v>2023</v>
      </c>
      <c r="J67" s="2">
        <v>11981</v>
      </c>
      <c r="K67" s="2" t="s">
        <v>36</v>
      </c>
      <c r="L67" s="2" t="s">
        <v>23</v>
      </c>
      <c r="M67" s="2" t="s">
        <v>24</v>
      </c>
      <c r="N67" s="2">
        <v>59</v>
      </c>
      <c r="O67" s="2">
        <v>5</v>
      </c>
      <c r="P67" s="2">
        <v>5022</v>
      </c>
      <c r="Q67" s="2">
        <v>251.1</v>
      </c>
      <c r="R67" s="2">
        <v>4770.8999999999996</v>
      </c>
    </row>
    <row r="68" spans="1:18">
      <c r="A68" s="2">
        <v>67</v>
      </c>
      <c r="B68" s="2" t="s">
        <v>18</v>
      </c>
      <c r="C68" s="2" t="s">
        <v>19</v>
      </c>
      <c r="D68" s="2" t="s">
        <v>27</v>
      </c>
      <c r="E68" s="2">
        <v>19</v>
      </c>
      <c r="F68" s="2">
        <v>905</v>
      </c>
      <c r="G68" s="2">
        <v>15</v>
      </c>
      <c r="H68" s="2" t="s">
        <v>32</v>
      </c>
      <c r="I68" s="2">
        <v>2024</v>
      </c>
      <c r="J68" s="2">
        <v>15367</v>
      </c>
      <c r="K68" s="2" t="s">
        <v>36</v>
      </c>
      <c r="L68" s="2" t="s">
        <v>23</v>
      </c>
      <c r="M68" s="2" t="s">
        <v>30</v>
      </c>
      <c r="N68" s="2">
        <v>71</v>
      </c>
      <c r="O68" s="2">
        <v>43</v>
      </c>
      <c r="P68" s="2">
        <v>17195</v>
      </c>
      <c r="Q68" s="2">
        <v>2579.25</v>
      </c>
      <c r="R68" s="2">
        <v>14615.75</v>
      </c>
    </row>
    <row r="69" spans="1:18">
      <c r="A69" s="2">
        <v>68</v>
      </c>
      <c r="B69" s="2" t="s">
        <v>43</v>
      </c>
      <c r="C69" s="2" t="s">
        <v>39</v>
      </c>
      <c r="D69" s="2" t="s">
        <v>40</v>
      </c>
      <c r="E69" s="2">
        <v>12</v>
      </c>
      <c r="F69" s="2">
        <v>405</v>
      </c>
      <c r="G69" s="2">
        <v>0</v>
      </c>
      <c r="H69" s="2" t="s">
        <v>21</v>
      </c>
      <c r="I69" s="2">
        <v>2024</v>
      </c>
      <c r="J69" s="2">
        <v>17116</v>
      </c>
      <c r="K69" s="2" t="s">
        <v>22</v>
      </c>
      <c r="L69" s="2" t="s">
        <v>29</v>
      </c>
      <c r="M69" s="2" t="s">
        <v>37</v>
      </c>
      <c r="N69" s="2">
        <v>93</v>
      </c>
      <c r="O69" s="2">
        <v>19</v>
      </c>
      <c r="P69" s="2">
        <v>4860</v>
      </c>
      <c r="Q69" s="2">
        <v>0</v>
      </c>
      <c r="R69" s="2">
        <v>4860</v>
      </c>
    </row>
    <row r="70" spans="1:18">
      <c r="A70" s="2">
        <v>69</v>
      </c>
      <c r="B70" s="2" t="s">
        <v>18</v>
      </c>
      <c r="C70" s="2" t="s">
        <v>31</v>
      </c>
      <c r="D70" s="2" t="s">
        <v>42</v>
      </c>
      <c r="E70" s="2">
        <v>7</v>
      </c>
      <c r="F70" s="2">
        <v>197</v>
      </c>
      <c r="G70" s="2">
        <v>0</v>
      </c>
      <c r="H70" s="2" t="s">
        <v>41</v>
      </c>
      <c r="I70" s="2">
        <v>2025</v>
      </c>
      <c r="J70" s="2">
        <v>15281</v>
      </c>
      <c r="K70" s="2" t="s">
        <v>36</v>
      </c>
      <c r="L70" s="2" t="s">
        <v>29</v>
      </c>
      <c r="M70" s="2" t="s">
        <v>37</v>
      </c>
      <c r="N70" s="2">
        <v>71</v>
      </c>
      <c r="O70" s="2">
        <v>49</v>
      </c>
      <c r="P70" s="2">
        <v>1379</v>
      </c>
      <c r="Q70" s="2">
        <v>0</v>
      </c>
      <c r="R70" s="2">
        <v>1379</v>
      </c>
    </row>
    <row r="71" spans="1:18">
      <c r="A71" s="2">
        <v>70</v>
      </c>
      <c r="B71" s="2" t="s">
        <v>25</v>
      </c>
      <c r="C71" s="2" t="s">
        <v>31</v>
      </c>
      <c r="D71" s="2" t="s">
        <v>20</v>
      </c>
      <c r="E71" s="2">
        <v>10</v>
      </c>
      <c r="F71" s="2">
        <v>949</v>
      </c>
      <c r="G71" s="2">
        <v>0</v>
      </c>
      <c r="H71" s="2" t="s">
        <v>21</v>
      </c>
      <c r="I71" s="2">
        <v>2023</v>
      </c>
      <c r="J71" s="2">
        <v>10475</v>
      </c>
      <c r="K71" s="2" t="s">
        <v>22</v>
      </c>
      <c r="L71" s="2" t="s">
        <v>23</v>
      </c>
      <c r="M71" s="2" t="s">
        <v>37</v>
      </c>
      <c r="N71" s="2">
        <v>16</v>
      </c>
      <c r="O71" s="2">
        <v>13</v>
      </c>
      <c r="P71" s="2">
        <v>9490</v>
      </c>
      <c r="Q71" s="2">
        <v>0</v>
      </c>
      <c r="R71" s="2">
        <v>9490</v>
      </c>
    </row>
    <row r="72" spans="1:18">
      <c r="A72" s="2">
        <v>71</v>
      </c>
      <c r="B72" s="2" t="s">
        <v>34</v>
      </c>
      <c r="C72" s="2" t="s">
        <v>31</v>
      </c>
      <c r="D72" s="2" t="s">
        <v>27</v>
      </c>
      <c r="E72" s="2">
        <v>19</v>
      </c>
      <c r="F72" s="2">
        <v>897</v>
      </c>
      <c r="G72" s="2">
        <v>15</v>
      </c>
      <c r="H72" s="2" t="s">
        <v>28</v>
      </c>
      <c r="I72" s="2">
        <v>2023</v>
      </c>
      <c r="J72" s="2">
        <v>13232</v>
      </c>
      <c r="K72" s="2" t="s">
        <v>22</v>
      </c>
      <c r="L72" s="2" t="s">
        <v>33</v>
      </c>
      <c r="M72" s="2" t="s">
        <v>37</v>
      </c>
      <c r="N72" s="2">
        <v>84</v>
      </c>
      <c r="O72" s="2">
        <v>1</v>
      </c>
      <c r="P72" s="2">
        <v>17043</v>
      </c>
      <c r="Q72" s="2">
        <v>2556.4499999999998</v>
      </c>
      <c r="R72" s="2">
        <v>14486.55</v>
      </c>
    </row>
    <row r="73" spans="1:18">
      <c r="A73" s="2">
        <v>72</v>
      </c>
      <c r="B73" s="2" t="s">
        <v>18</v>
      </c>
      <c r="C73" s="2" t="s">
        <v>39</v>
      </c>
      <c r="D73" s="2" t="s">
        <v>27</v>
      </c>
      <c r="E73" s="2">
        <v>7</v>
      </c>
      <c r="F73" s="2">
        <v>434</v>
      </c>
      <c r="G73" s="2">
        <v>0</v>
      </c>
      <c r="H73" s="2" t="s">
        <v>32</v>
      </c>
      <c r="I73" s="2">
        <v>2025</v>
      </c>
      <c r="J73" s="2">
        <v>15273</v>
      </c>
      <c r="K73" s="2" t="s">
        <v>22</v>
      </c>
      <c r="L73" s="2" t="s">
        <v>29</v>
      </c>
      <c r="M73" s="2" t="s">
        <v>30</v>
      </c>
      <c r="N73" s="2">
        <v>93</v>
      </c>
      <c r="O73" s="2">
        <v>8</v>
      </c>
      <c r="P73" s="2">
        <v>3038</v>
      </c>
      <c r="Q73" s="2">
        <v>0</v>
      </c>
      <c r="R73" s="2">
        <v>3038</v>
      </c>
    </row>
    <row r="74" spans="1:18">
      <c r="A74" s="2">
        <v>73</v>
      </c>
      <c r="B74" s="2" t="s">
        <v>18</v>
      </c>
      <c r="C74" s="2" t="s">
        <v>19</v>
      </c>
      <c r="D74" s="2" t="s">
        <v>27</v>
      </c>
      <c r="E74" s="2">
        <v>3</v>
      </c>
      <c r="F74" s="2">
        <v>958</v>
      </c>
      <c r="G74" s="2">
        <v>15</v>
      </c>
      <c r="H74" s="2" t="s">
        <v>41</v>
      </c>
      <c r="I74" s="2">
        <v>2023</v>
      </c>
      <c r="J74" s="2">
        <v>12184</v>
      </c>
      <c r="K74" s="2" t="s">
        <v>22</v>
      </c>
      <c r="L74" s="2" t="s">
        <v>29</v>
      </c>
      <c r="M74" s="2" t="s">
        <v>37</v>
      </c>
      <c r="N74" s="2">
        <v>89</v>
      </c>
      <c r="O74" s="2">
        <v>36</v>
      </c>
      <c r="P74" s="2">
        <v>2874</v>
      </c>
      <c r="Q74" s="2">
        <v>431.1</v>
      </c>
      <c r="R74" s="2">
        <v>2442.9</v>
      </c>
    </row>
    <row r="75" spans="1:18">
      <c r="A75" s="2">
        <v>74</v>
      </c>
      <c r="B75" s="2" t="s">
        <v>43</v>
      </c>
      <c r="C75" s="2" t="s">
        <v>19</v>
      </c>
      <c r="D75" s="2" t="s">
        <v>40</v>
      </c>
      <c r="E75" s="2">
        <v>13</v>
      </c>
      <c r="F75" s="2">
        <v>534</v>
      </c>
      <c r="G75" s="2">
        <v>5</v>
      </c>
      <c r="H75" s="2" t="s">
        <v>41</v>
      </c>
      <c r="I75" s="2">
        <v>2023</v>
      </c>
      <c r="J75" s="2">
        <v>10796</v>
      </c>
      <c r="K75" s="2" t="s">
        <v>22</v>
      </c>
      <c r="L75" s="2" t="s">
        <v>23</v>
      </c>
      <c r="M75" s="2" t="s">
        <v>30</v>
      </c>
      <c r="N75" s="2">
        <v>13</v>
      </c>
      <c r="O75" s="2">
        <v>19</v>
      </c>
      <c r="P75" s="2">
        <v>6942</v>
      </c>
      <c r="Q75" s="2">
        <v>347.1</v>
      </c>
      <c r="R75" s="2">
        <v>6594.9</v>
      </c>
    </row>
    <row r="76" spans="1:18">
      <c r="A76" s="2">
        <v>75</v>
      </c>
      <c r="B76" s="2" t="s">
        <v>43</v>
      </c>
      <c r="C76" s="2" t="s">
        <v>39</v>
      </c>
      <c r="D76" s="2" t="s">
        <v>27</v>
      </c>
      <c r="E76" s="2">
        <v>13</v>
      </c>
      <c r="F76" s="2">
        <v>546</v>
      </c>
      <c r="G76" s="2">
        <v>10</v>
      </c>
      <c r="H76" s="2" t="s">
        <v>41</v>
      </c>
      <c r="I76" s="2">
        <v>2024</v>
      </c>
      <c r="J76" s="2">
        <v>12141</v>
      </c>
      <c r="K76" s="2" t="s">
        <v>36</v>
      </c>
      <c r="L76" s="2" t="s">
        <v>33</v>
      </c>
      <c r="M76" s="2" t="s">
        <v>30</v>
      </c>
      <c r="N76" s="2">
        <v>15</v>
      </c>
      <c r="O76" s="2">
        <v>25</v>
      </c>
      <c r="P76" s="2">
        <v>7098</v>
      </c>
      <c r="Q76" s="2">
        <v>709.8</v>
      </c>
      <c r="R76" s="2">
        <v>6388.2</v>
      </c>
    </row>
    <row r="77" spans="1:18">
      <c r="A77" s="2">
        <v>76</v>
      </c>
      <c r="B77" s="2" t="s">
        <v>25</v>
      </c>
      <c r="C77" s="2" t="s">
        <v>31</v>
      </c>
      <c r="D77" s="2" t="s">
        <v>27</v>
      </c>
      <c r="E77" s="2">
        <v>18</v>
      </c>
      <c r="F77" s="2">
        <v>407</v>
      </c>
      <c r="G77" s="2">
        <v>0</v>
      </c>
      <c r="H77" s="2" t="s">
        <v>41</v>
      </c>
      <c r="I77" s="2">
        <v>2025</v>
      </c>
      <c r="J77" s="2">
        <v>18689</v>
      </c>
      <c r="K77" s="2" t="s">
        <v>36</v>
      </c>
      <c r="L77" s="2" t="s">
        <v>23</v>
      </c>
      <c r="M77" s="2" t="s">
        <v>30</v>
      </c>
      <c r="N77" s="2">
        <v>67</v>
      </c>
      <c r="O77" s="2">
        <v>28</v>
      </c>
      <c r="P77" s="2">
        <v>7326</v>
      </c>
      <c r="Q77" s="2">
        <v>0</v>
      </c>
      <c r="R77" s="2">
        <v>7326</v>
      </c>
    </row>
    <row r="78" spans="1:18">
      <c r="A78" s="2">
        <v>77</v>
      </c>
      <c r="B78" s="2" t="s">
        <v>34</v>
      </c>
      <c r="C78" s="2" t="s">
        <v>31</v>
      </c>
      <c r="D78" s="2" t="s">
        <v>27</v>
      </c>
      <c r="E78" s="2">
        <v>8</v>
      </c>
      <c r="F78" s="2">
        <v>348</v>
      </c>
      <c r="G78" s="2">
        <v>0</v>
      </c>
      <c r="H78" s="2" t="s">
        <v>41</v>
      </c>
      <c r="I78" s="2">
        <v>2025</v>
      </c>
      <c r="J78" s="2">
        <v>17875</v>
      </c>
      <c r="K78" s="2" t="s">
        <v>36</v>
      </c>
      <c r="L78" s="2" t="s">
        <v>33</v>
      </c>
      <c r="M78" s="2" t="s">
        <v>30</v>
      </c>
      <c r="N78" s="2">
        <v>31</v>
      </c>
      <c r="O78" s="2">
        <v>0</v>
      </c>
      <c r="P78" s="2">
        <v>2784</v>
      </c>
      <c r="Q78" s="2">
        <v>0</v>
      </c>
      <c r="R78" s="2">
        <v>2784</v>
      </c>
    </row>
    <row r="79" spans="1:18">
      <c r="A79" s="2">
        <v>78</v>
      </c>
      <c r="B79" s="2" t="s">
        <v>43</v>
      </c>
      <c r="C79" s="2" t="s">
        <v>19</v>
      </c>
      <c r="D79" s="2" t="s">
        <v>42</v>
      </c>
      <c r="E79" s="2">
        <v>9</v>
      </c>
      <c r="F79" s="2">
        <v>265</v>
      </c>
      <c r="G79" s="2">
        <v>5</v>
      </c>
      <c r="H79" s="2" t="s">
        <v>21</v>
      </c>
      <c r="I79" s="2">
        <v>2025</v>
      </c>
      <c r="J79" s="2">
        <v>6622</v>
      </c>
      <c r="K79" s="2" t="s">
        <v>22</v>
      </c>
      <c r="L79" s="2" t="s">
        <v>33</v>
      </c>
      <c r="M79" s="2" t="s">
        <v>24</v>
      </c>
      <c r="N79" s="2">
        <v>35</v>
      </c>
      <c r="O79" s="2">
        <v>34</v>
      </c>
      <c r="P79" s="2">
        <v>2385</v>
      </c>
      <c r="Q79" s="2">
        <v>119.25</v>
      </c>
      <c r="R79" s="2">
        <v>2265.75</v>
      </c>
    </row>
    <row r="80" spans="1:18">
      <c r="A80" s="2">
        <v>79</v>
      </c>
      <c r="B80" s="2" t="s">
        <v>18</v>
      </c>
      <c r="C80" s="2" t="s">
        <v>31</v>
      </c>
      <c r="D80" s="2" t="s">
        <v>40</v>
      </c>
      <c r="E80" s="2">
        <v>7</v>
      </c>
      <c r="F80" s="2">
        <v>580</v>
      </c>
      <c r="G80" s="2">
        <v>10</v>
      </c>
      <c r="H80" s="2" t="s">
        <v>32</v>
      </c>
      <c r="I80" s="2">
        <v>2025</v>
      </c>
      <c r="J80" s="2">
        <v>13041</v>
      </c>
      <c r="K80" s="2" t="s">
        <v>22</v>
      </c>
      <c r="L80" s="2" t="s">
        <v>33</v>
      </c>
      <c r="M80" s="2" t="s">
        <v>24</v>
      </c>
      <c r="N80" s="2">
        <v>12</v>
      </c>
      <c r="O80" s="2">
        <v>5</v>
      </c>
      <c r="P80" s="2">
        <v>4060</v>
      </c>
      <c r="Q80" s="2">
        <v>406</v>
      </c>
      <c r="R80" s="2">
        <v>3654</v>
      </c>
    </row>
    <row r="81" spans="1:18">
      <c r="A81" s="2">
        <v>80</v>
      </c>
      <c r="B81" s="2" t="s">
        <v>34</v>
      </c>
      <c r="C81" s="2" t="s">
        <v>26</v>
      </c>
      <c r="D81" s="2" t="s">
        <v>27</v>
      </c>
      <c r="E81" s="2">
        <v>1</v>
      </c>
      <c r="F81" s="2">
        <v>434</v>
      </c>
      <c r="G81" s="2">
        <v>15</v>
      </c>
      <c r="H81" s="2" t="s">
        <v>28</v>
      </c>
      <c r="I81" s="2">
        <v>2024</v>
      </c>
      <c r="J81" s="2">
        <v>5341</v>
      </c>
      <c r="K81" s="2" t="s">
        <v>22</v>
      </c>
      <c r="L81" s="2" t="s">
        <v>29</v>
      </c>
      <c r="M81" s="2" t="s">
        <v>37</v>
      </c>
      <c r="N81" s="2">
        <v>50</v>
      </c>
      <c r="O81" s="2">
        <v>36</v>
      </c>
      <c r="P81" s="2">
        <v>434</v>
      </c>
      <c r="Q81" s="2">
        <v>65.099999999999994</v>
      </c>
      <c r="R81" s="2">
        <v>368.9</v>
      </c>
    </row>
    <row r="82" spans="1:18">
      <c r="A82" s="2">
        <v>81</v>
      </c>
      <c r="B82" s="2" t="s">
        <v>34</v>
      </c>
      <c r="C82" s="2" t="s">
        <v>19</v>
      </c>
      <c r="D82" s="2" t="s">
        <v>20</v>
      </c>
      <c r="E82" s="2">
        <v>3</v>
      </c>
      <c r="F82" s="2">
        <v>641</v>
      </c>
      <c r="G82" s="2">
        <v>10</v>
      </c>
      <c r="H82" s="2" t="s">
        <v>28</v>
      </c>
      <c r="I82" s="2">
        <v>2024</v>
      </c>
      <c r="J82" s="2">
        <v>17244</v>
      </c>
      <c r="K82" s="2" t="s">
        <v>36</v>
      </c>
      <c r="L82" s="2" t="s">
        <v>23</v>
      </c>
      <c r="M82" s="2" t="s">
        <v>24</v>
      </c>
      <c r="N82" s="2">
        <v>69</v>
      </c>
      <c r="O82" s="2">
        <v>4</v>
      </c>
      <c r="P82" s="2">
        <v>1923</v>
      </c>
      <c r="Q82" s="2">
        <v>192.3</v>
      </c>
      <c r="R82" s="2">
        <v>1730.7</v>
      </c>
    </row>
    <row r="83" spans="1:18">
      <c r="A83" s="2">
        <v>82</v>
      </c>
      <c r="B83" s="2" t="s">
        <v>18</v>
      </c>
      <c r="C83" s="2" t="s">
        <v>31</v>
      </c>
      <c r="D83" s="2" t="s">
        <v>20</v>
      </c>
      <c r="E83" s="2">
        <v>13</v>
      </c>
      <c r="F83" s="2">
        <v>858</v>
      </c>
      <c r="G83" s="2">
        <v>5</v>
      </c>
      <c r="H83" s="2" t="s">
        <v>28</v>
      </c>
      <c r="I83" s="2">
        <v>2023</v>
      </c>
      <c r="J83" s="2">
        <v>7074</v>
      </c>
      <c r="K83" s="2" t="s">
        <v>22</v>
      </c>
      <c r="L83" s="2" t="s">
        <v>23</v>
      </c>
      <c r="M83" s="2" t="s">
        <v>24</v>
      </c>
      <c r="N83" s="2">
        <v>23</v>
      </c>
      <c r="O83" s="2">
        <v>32</v>
      </c>
      <c r="P83" s="2">
        <v>11154</v>
      </c>
      <c r="Q83" s="2">
        <v>557.70000000000005</v>
      </c>
      <c r="R83" s="2">
        <v>10596.3</v>
      </c>
    </row>
    <row r="84" spans="1:18">
      <c r="A84" s="2">
        <v>83</v>
      </c>
      <c r="B84" s="2" t="s">
        <v>43</v>
      </c>
      <c r="C84" s="2" t="s">
        <v>19</v>
      </c>
      <c r="D84" s="2" t="s">
        <v>20</v>
      </c>
      <c r="E84" s="2">
        <v>17</v>
      </c>
      <c r="F84" s="2">
        <v>205</v>
      </c>
      <c r="G84" s="2">
        <v>5</v>
      </c>
      <c r="H84" s="2" t="s">
        <v>28</v>
      </c>
      <c r="I84" s="2">
        <v>2023</v>
      </c>
      <c r="J84" s="2">
        <v>12992</v>
      </c>
      <c r="K84" s="2" t="s">
        <v>36</v>
      </c>
      <c r="L84" s="2" t="s">
        <v>33</v>
      </c>
      <c r="M84" s="2" t="s">
        <v>37</v>
      </c>
      <c r="N84" s="2">
        <v>84</v>
      </c>
      <c r="O84" s="2">
        <v>48</v>
      </c>
      <c r="P84" s="2">
        <v>3485</v>
      </c>
      <c r="Q84" s="2">
        <v>174.25</v>
      </c>
      <c r="R84" s="2">
        <v>3310.75</v>
      </c>
    </row>
    <row r="85" spans="1:18">
      <c r="A85" s="2">
        <v>84</v>
      </c>
      <c r="B85" s="2" t="s">
        <v>18</v>
      </c>
      <c r="C85" s="2" t="s">
        <v>26</v>
      </c>
      <c r="D85" s="2" t="s">
        <v>40</v>
      </c>
      <c r="E85" s="2">
        <v>1</v>
      </c>
      <c r="F85" s="2">
        <v>662</v>
      </c>
      <c r="G85" s="2">
        <v>10</v>
      </c>
      <c r="H85" s="2" t="s">
        <v>21</v>
      </c>
      <c r="I85" s="2">
        <v>2023</v>
      </c>
      <c r="J85" s="2">
        <v>5645</v>
      </c>
      <c r="K85" s="2" t="s">
        <v>36</v>
      </c>
      <c r="L85" s="2" t="s">
        <v>29</v>
      </c>
      <c r="M85" s="2" t="s">
        <v>37</v>
      </c>
      <c r="N85" s="2">
        <v>91</v>
      </c>
      <c r="O85" s="2">
        <v>13</v>
      </c>
      <c r="P85" s="2">
        <v>662</v>
      </c>
      <c r="Q85" s="2">
        <v>66.2</v>
      </c>
      <c r="R85" s="2">
        <v>595.79999999999995</v>
      </c>
    </row>
    <row r="86" spans="1:18">
      <c r="A86" s="2">
        <v>85</v>
      </c>
      <c r="B86" s="2" t="s">
        <v>34</v>
      </c>
      <c r="C86" s="2" t="s">
        <v>19</v>
      </c>
      <c r="D86" s="2" t="s">
        <v>40</v>
      </c>
      <c r="E86" s="2">
        <v>6</v>
      </c>
      <c r="F86" s="2">
        <v>180</v>
      </c>
      <c r="G86" s="2">
        <v>15</v>
      </c>
      <c r="H86" s="2" t="s">
        <v>35</v>
      </c>
      <c r="I86" s="2">
        <v>2023</v>
      </c>
      <c r="J86" s="2">
        <v>18018</v>
      </c>
      <c r="K86" s="2" t="s">
        <v>22</v>
      </c>
      <c r="L86" s="2" t="s">
        <v>29</v>
      </c>
      <c r="M86" s="2" t="s">
        <v>37</v>
      </c>
      <c r="N86" s="2">
        <v>21</v>
      </c>
      <c r="O86" s="2">
        <v>11</v>
      </c>
      <c r="P86" s="2">
        <v>1080</v>
      </c>
      <c r="Q86" s="2">
        <v>162</v>
      </c>
      <c r="R86" s="2">
        <v>918</v>
      </c>
    </row>
    <row r="87" spans="1:18">
      <c r="A87" s="2">
        <v>86</v>
      </c>
      <c r="B87" s="2" t="s">
        <v>38</v>
      </c>
      <c r="C87" s="2" t="s">
        <v>19</v>
      </c>
      <c r="D87" s="2" t="s">
        <v>20</v>
      </c>
      <c r="E87" s="2">
        <v>6</v>
      </c>
      <c r="F87" s="2">
        <v>232</v>
      </c>
      <c r="G87" s="2">
        <v>15</v>
      </c>
      <c r="H87" s="2" t="s">
        <v>32</v>
      </c>
      <c r="I87" s="2">
        <v>2024</v>
      </c>
      <c r="J87" s="2">
        <v>9263</v>
      </c>
      <c r="K87" s="2" t="s">
        <v>22</v>
      </c>
      <c r="L87" s="2" t="s">
        <v>23</v>
      </c>
      <c r="M87" s="2" t="s">
        <v>24</v>
      </c>
      <c r="N87" s="2">
        <v>96</v>
      </c>
      <c r="O87" s="2">
        <v>41</v>
      </c>
      <c r="P87" s="2">
        <v>1392</v>
      </c>
      <c r="Q87" s="2">
        <v>208.8</v>
      </c>
      <c r="R87" s="2">
        <v>1183.2</v>
      </c>
    </row>
    <row r="88" spans="1:18">
      <c r="A88" s="2">
        <v>87</v>
      </c>
      <c r="B88" s="2" t="s">
        <v>38</v>
      </c>
      <c r="C88" s="2" t="s">
        <v>19</v>
      </c>
      <c r="D88" s="2" t="s">
        <v>27</v>
      </c>
      <c r="E88" s="2">
        <v>12</v>
      </c>
      <c r="F88" s="2">
        <v>896</v>
      </c>
      <c r="G88" s="2">
        <v>0</v>
      </c>
      <c r="H88" s="2" t="s">
        <v>41</v>
      </c>
      <c r="I88" s="2">
        <v>2025</v>
      </c>
      <c r="J88" s="2">
        <v>13801</v>
      </c>
      <c r="K88" s="2" t="s">
        <v>36</v>
      </c>
      <c r="L88" s="2" t="s">
        <v>29</v>
      </c>
      <c r="M88" s="2" t="s">
        <v>24</v>
      </c>
      <c r="N88" s="2">
        <v>21</v>
      </c>
      <c r="O88" s="2">
        <v>19</v>
      </c>
      <c r="P88" s="2">
        <v>10752</v>
      </c>
      <c r="Q88" s="2">
        <v>0</v>
      </c>
      <c r="R88" s="2">
        <v>10752</v>
      </c>
    </row>
    <row r="89" spans="1:18">
      <c r="A89" s="2">
        <v>88</v>
      </c>
      <c r="B89" s="2" t="s">
        <v>25</v>
      </c>
      <c r="C89" s="2" t="s">
        <v>19</v>
      </c>
      <c r="D89" s="2" t="s">
        <v>40</v>
      </c>
      <c r="E89" s="2">
        <v>13</v>
      </c>
      <c r="F89" s="2">
        <v>999</v>
      </c>
      <c r="G89" s="2">
        <v>15</v>
      </c>
      <c r="H89" s="2" t="s">
        <v>35</v>
      </c>
      <c r="I89" s="2">
        <v>2024</v>
      </c>
      <c r="J89" s="2">
        <v>19603</v>
      </c>
      <c r="K89" s="2" t="s">
        <v>22</v>
      </c>
      <c r="L89" s="2" t="s">
        <v>29</v>
      </c>
      <c r="M89" s="2" t="s">
        <v>37</v>
      </c>
      <c r="N89" s="2">
        <v>22</v>
      </c>
      <c r="O89" s="2">
        <v>49</v>
      </c>
      <c r="P89" s="2">
        <v>12987</v>
      </c>
      <c r="Q89" s="2">
        <v>1948.05</v>
      </c>
      <c r="R89" s="2">
        <v>11038.95</v>
      </c>
    </row>
    <row r="90" spans="1:18">
      <c r="A90" s="2">
        <v>89</v>
      </c>
      <c r="B90" s="2" t="s">
        <v>18</v>
      </c>
      <c r="C90" s="2" t="s">
        <v>26</v>
      </c>
      <c r="D90" s="2" t="s">
        <v>20</v>
      </c>
      <c r="E90" s="2">
        <v>13</v>
      </c>
      <c r="F90" s="2">
        <v>237</v>
      </c>
      <c r="G90" s="2">
        <v>10</v>
      </c>
      <c r="H90" s="2" t="s">
        <v>28</v>
      </c>
      <c r="I90" s="2">
        <v>2023</v>
      </c>
      <c r="J90" s="2">
        <v>19060</v>
      </c>
      <c r="K90" s="2" t="s">
        <v>36</v>
      </c>
      <c r="L90" s="2" t="s">
        <v>33</v>
      </c>
      <c r="M90" s="2" t="s">
        <v>30</v>
      </c>
      <c r="N90" s="2">
        <v>34</v>
      </c>
      <c r="O90" s="2">
        <v>23</v>
      </c>
      <c r="P90" s="2">
        <v>3081</v>
      </c>
      <c r="Q90" s="2">
        <v>308.10000000000002</v>
      </c>
      <c r="R90" s="2">
        <v>2772.9</v>
      </c>
    </row>
    <row r="91" spans="1:18">
      <c r="A91" s="2">
        <v>90</v>
      </c>
      <c r="B91" s="2" t="s">
        <v>18</v>
      </c>
      <c r="C91" s="2" t="s">
        <v>39</v>
      </c>
      <c r="D91" s="2" t="s">
        <v>20</v>
      </c>
      <c r="E91" s="2">
        <v>15</v>
      </c>
      <c r="F91" s="2">
        <v>283</v>
      </c>
      <c r="G91" s="2">
        <v>5</v>
      </c>
      <c r="H91" s="2" t="s">
        <v>35</v>
      </c>
      <c r="I91" s="2">
        <v>2024</v>
      </c>
      <c r="J91" s="2">
        <v>11136</v>
      </c>
      <c r="K91" s="2" t="s">
        <v>22</v>
      </c>
      <c r="L91" s="2" t="s">
        <v>29</v>
      </c>
      <c r="M91" s="2" t="s">
        <v>37</v>
      </c>
      <c r="N91" s="2">
        <v>54</v>
      </c>
      <c r="O91" s="2">
        <v>42</v>
      </c>
      <c r="P91" s="2">
        <v>4245</v>
      </c>
      <c r="Q91" s="2">
        <v>212.25</v>
      </c>
      <c r="R91" s="2">
        <v>4032.75</v>
      </c>
    </row>
    <row r="92" spans="1:18">
      <c r="A92" s="2">
        <v>91</v>
      </c>
      <c r="B92" s="2" t="s">
        <v>25</v>
      </c>
      <c r="C92" s="2" t="s">
        <v>19</v>
      </c>
      <c r="D92" s="2" t="s">
        <v>27</v>
      </c>
      <c r="E92" s="2">
        <v>16</v>
      </c>
      <c r="F92" s="2">
        <v>500</v>
      </c>
      <c r="G92" s="2">
        <v>0</v>
      </c>
      <c r="H92" s="2" t="s">
        <v>32</v>
      </c>
      <c r="I92" s="2">
        <v>2025</v>
      </c>
      <c r="J92" s="2">
        <v>13646</v>
      </c>
      <c r="K92" s="2" t="s">
        <v>22</v>
      </c>
      <c r="L92" s="2" t="s">
        <v>33</v>
      </c>
      <c r="M92" s="2" t="s">
        <v>30</v>
      </c>
      <c r="N92" s="2">
        <v>28</v>
      </c>
      <c r="O92" s="2">
        <v>33</v>
      </c>
      <c r="P92" s="2">
        <v>8000</v>
      </c>
      <c r="Q92" s="2">
        <v>0</v>
      </c>
      <c r="R92" s="2">
        <v>8000</v>
      </c>
    </row>
    <row r="93" spans="1:18">
      <c r="A93" s="2">
        <v>92</v>
      </c>
      <c r="B93" s="2" t="s">
        <v>25</v>
      </c>
      <c r="C93" s="2" t="s">
        <v>19</v>
      </c>
      <c r="D93" s="2" t="s">
        <v>42</v>
      </c>
      <c r="E93" s="2">
        <v>11</v>
      </c>
      <c r="F93" s="2">
        <v>429</v>
      </c>
      <c r="G93" s="2">
        <v>0</v>
      </c>
      <c r="H93" s="2" t="s">
        <v>41</v>
      </c>
      <c r="I93" s="2">
        <v>2025</v>
      </c>
      <c r="J93" s="2">
        <v>16145</v>
      </c>
      <c r="K93" s="2" t="s">
        <v>36</v>
      </c>
      <c r="L93" s="2" t="s">
        <v>23</v>
      </c>
      <c r="M93" s="2" t="s">
        <v>30</v>
      </c>
      <c r="N93" s="2">
        <v>64</v>
      </c>
      <c r="O93" s="2">
        <v>24</v>
      </c>
      <c r="P93" s="2">
        <v>4719</v>
      </c>
      <c r="Q93" s="2">
        <v>0</v>
      </c>
      <c r="R93" s="2">
        <v>4719</v>
      </c>
    </row>
    <row r="94" spans="1:18">
      <c r="A94" s="2">
        <v>93</v>
      </c>
      <c r="B94" s="2" t="s">
        <v>25</v>
      </c>
      <c r="C94" s="2" t="s">
        <v>31</v>
      </c>
      <c r="D94" s="2" t="s">
        <v>40</v>
      </c>
      <c r="E94" s="2">
        <v>5</v>
      </c>
      <c r="F94" s="2">
        <v>884</v>
      </c>
      <c r="G94" s="2">
        <v>5</v>
      </c>
      <c r="H94" s="2" t="s">
        <v>41</v>
      </c>
      <c r="I94" s="2">
        <v>2024</v>
      </c>
      <c r="J94" s="2">
        <v>14900</v>
      </c>
      <c r="K94" s="2" t="s">
        <v>22</v>
      </c>
      <c r="L94" s="2" t="s">
        <v>29</v>
      </c>
      <c r="M94" s="2" t="s">
        <v>37</v>
      </c>
      <c r="N94" s="2">
        <v>54</v>
      </c>
      <c r="O94" s="2">
        <v>49</v>
      </c>
      <c r="P94" s="2">
        <v>4420</v>
      </c>
      <c r="Q94" s="2">
        <v>221</v>
      </c>
      <c r="R94" s="2">
        <v>4199</v>
      </c>
    </row>
    <row r="95" spans="1:18">
      <c r="A95" s="2">
        <v>94</v>
      </c>
      <c r="B95" s="2" t="s">
        <v>34</v>
      </c>
      <c r="C95" s="2" t="s">
        <v>19</v>
      </c>
      <c r="D95" s="2" t="s">
        <v>27</v>
      </c>
      <c r="E95" s="2">
        <v>4</v>
      </c>
      <c r="F95" s="2">
        <v>607</v>
      </c>
      <c r="G95" s="2">
        <v>15</v>
      </c>
      <c r="H95" s="2" t="s">
        <v>32</v>
      </c>
      <c r="I95" s="2">
        <v>2024</v>
      </c>
      <c r="J95" s="2">
        <v>16664</v>
      </c>
      <c r="K95" s="2" t="s">
        <v>36</v>
      </c>
      <c r="L95" s="2" t="s">
        <v>23</v>
      </c>
      <c r="M95" s="2" t="s">
        <v>37</v>
      </c>
      <c r="N95" s="2">
        <v>17</v>
      </c>
      <c r="O95" s="2">
        <v>28</v>
      </c>
      <c r="P95" s="2">
        <v>2428</v>
      </c>
      <c r="Q95" s="2">
        <v>364.2</v>
      </c>
      <c r="R95" s="2">
        <v>2063.8000000000002</v>
      </c>
    </row>
    <row r="96" spans="1:18">
      <c r="A96" s="2">
        <v>95</v>
      </c>
      <c r="B96" s="2" t="s">
        <v>18</v>
      </c>
      <c r="C96" s="2" t="s">
        <v>31</v>
      </c>
      <c r="D96" s="2" t="s">
        <v>20</v>
      </c>
      <c r="E96" s="2">
        <v>3</v>
      </c>
      <c r="F96" s="2">
        <v>951</v>
      </c>
      <c r="G96" s="2">
        <v>5</v>
      </c>
      <c r="H96" s="2" t="s">
        <v>32</v>
      </c>
      <c r="I96" s="2">
        <v>2024</v>
      </c>
      <c r="J96" s="2">
        <v>7969</v>
      </c>
      <c r="K96" s="2" t="s">
        <v>22</v>
      </c>
      <c r="L96" s="2" t="s">
        <v>23</v>
      </c>
      <c r="M96" s="2" t="s">
        <v>37</v>
      </c>
      <c r="N96" s="2">
        <v>62</v>
      </c>
      <c r="O96" s="2">
        <v>38</v>
      </c>
      <c r="P96" s="2">
        <v>2853</v>
      </c>
      <c r="Q96" s="2">
        <v>142.65</v>
      </c>
      <c r="R96" s="2">
        <v>2710.35</v>
      </c>
    </row>
    <row r="97" spans="1:18">
      <c r="A97" s="2">
        <v>96</v>
      </c>
      <c r="B97" s="2" t="s">
        <v>34</v>
      </c>
      <c r="C97" s="2" t="s">
        <v>39</v>
      </c>
      <c r="D97" s="2" t="s">
        <v>20</v>
      </c>
      <c r="E97" s="2">
        <v>19</v>
      </c>
      <c r="F97" s="2">
        <v>168</v>
      </c>
      <c r="G97" s="2">
        <v>15</v>
      </c>
      <c r="H97" s="2" t="s">
        <v>28</v>
      </c>
      <c r="I97" s="2">
        <v>2023</v>
      </c>
      <c r="J97" s="2">
        <v>8028</v>
      </c>
      <c r="K97" s="2" t="s">
        <v>36</v>
      </c>
      <c r="L97" s="2" t="s">
        <v>29</v>
      </c>
      <c r="M97" s="2" t="s">
        <v>24</v>
      </c>
      <c r="N97" s="2">
        <v>64</v>
      </c>
      <c r="O97" s="2">
        <v>30</v>
      </c>
      <c r="P97" s="2">
        <v>3192</v>
      </c>
      <c r="Q97" s="2">
        <v>478.8</v>
      </c>
      <c r="R97" s="2">
        <v>2713.2</v>
      </c>
    </row>
    <row r="98" spans="1:18">
      <c r="A98" s="2">
        <v>97</v>
      </c>
      <c r="B98" s="2" t="s">
        <v>25</v>
      </c>
      <c r="C98" s="2" t="s">
        <v>26</v>
      </c>
      <c r="D98" s="2" t="s">
        <v>27</v>
      </c>
      <c r="E98" s="2">
        <v>18</v>
      </c>
      <c r="F98" s="2">
        <v>645</v>
      </c>
      <c r="G98" s="2">
        <v>5</v>
      </c>
      <c r="H98" s="2" t="s">
        <v>41</v>
      </c>
      <c r="I98" s="2">
        <v>2024</v>
      </c>
      <c r="J98" s="2">
        <v>12643</v>
      </c>
      <c r="K98" s="2" t="s">
        <v>36</v>
      </c>
      <c r="L98" s="2" t="s">
        <v>29</v>
      </c>
      <c r="M98" s="2" t="s">
        <v>30</v>
      </c>
      <c r="N98" s="2">
        <v>41</v>
      </c>
      <c r="O98" s="2">
        <v>46</v>
      </c>
      <c r="P98" s="2">
        <v>11610</v>
      </c>
      <c r="Q98" s="2">
        <v>580.5</v>
      </c>
      <c r="R98" s="2">
        <v>11029.5</v>
      </c>
    </row>
    <row r="99" spans="1:18">
      <c r="A99" s="2">
        <v>98</v>
      </c>
      <c r="B99" s="2" t="s">
        <v>18</v>
      </c>
      <c r="C99" s="2" t="s">
        <v>26</v>
      </c>
      <c r="D99" s="2" t="s">
        <v>40</v>
      </c>
      <c r="E99" s="2">
        <v>15</v>
      </c>
      <c r="F99" s="2">
        <v>873</v>
      </c>
      <c r="G99" s="2">
        <v>10</v>
      </c>
      <c r="H99" s="2" t="s">
        <v>35</v>
      </c>
      <c r="I99" s="2">
        <v>2024</v>
      </c>
      <c r="J99" s="2">
        <v>17989</v>
      </c>
      <c r="K99" s="2" t="s">
        <v>22</v>
      </c>
      <c r="L99" s="2" t="s">
        <v>23</v>
      </c>
      <c r="M99" s="2" t="s">
        <v>24</v>
      </c>
      <c r="N99" s="2">
        <v>60</v>
      </c>
      <c r="O99" s="2">
        <v>42</v>
      </c>
      <c r="P99" s="2">
        <v>13095</v>
      </c>
      <c r="Q99" s="2">
        <v>1309.5</v>
      </c>
      <c r="R99" s="2">
        <v>11785.5</v>
      </c>
    </row>
    <row r="100" spans="1:18">
      <c r="A100" s="2">
        <v>99</v>
      </c>
      <c r="B100" s="2" t="s">
        <v>34</v>
      </c>
      <c r="C100" s="2" t="s">
        <v>39</v>
      </c>
      <c r="D100" s="2" t="s">
        <v>42</v>
      </c>
      <c r="E100" s="2">
        <v>9</v>
      </c>
      <c r="F100" s="2">
        <v>152</v>
      </c>
      <c r="G100" s="2">
        <v>15</v>
      </c>
      <c r="H100" s="2" t="s">
        <v>21</v>
      </c>
      <c r="I100" s="2">
        <v>2024</v>
      </c>
      <c r="J100" s="2">
        <v>7681</v>
      </c>
      <c r="K100" s="2" t="s">
        <v>36</v>
      </c>
      <c r="L100" s="2" t="s">
        <v>29</v>
      </c>
      <c r="M100" s="2" t="s">
        <v>24</v>
      </c>
      <c r="N100" s="2">
        <v>53</v>
      </c>
      <c r="O100" s="2">
        <v>49</v>
      </c>
      <c r="P100" s="2">
        <v>1368</v>
      </c>
      <c r="Q100" s="2">
        <v>205.2</v>
      </c>
      <c r="R100" s="2">
        <v>1162.8</v>
      </c>
    </row>
    <row r="101" spans="1:18">
      <c r="A101" s="2">
        <v>100</v>
      </c>
      <c r="B101" s="2" t="s">
        <v>34</v>
      </c>
      <c r="C101" s="2" t="s">
        <v>26</v>
      </c>
      <c r="D101" s="2" t="s">
        <v>42</v>
      </c>
      <c r="E101" s="2">
        <v>17</v>
      </c>
      <c r="F101" s="2">
        <v>549</v>
      </c>
      <c r="G101" s="2">
        <v>10</v>
      </c>
      <c r="H101" s="2" t="s">
        <v>21</v>
      </c>
      <c r="I101" s="2">
        <v>2025</v>
      </c>
      <c r="J101" s="2">
        <v>8629</v>
      </c>
      <c r="K101" s="2" t="s">
        <v>22</v>
      </c>
      <c r="L101" s="2" t="s">
        <v>33</v>
      </c>
      <c r="M101" s="2" t="s">
        <v>37</v>
      </c>
      <c r="N101" s="2">
        <v>91</v>
      </c>
      <c r="O101" s="2">
        <v>22</v>
      </c>
      <c r="P101" s="2">
        <v>9333</v>
      </c>
      <c r="Q101" s="2">
        <v>933.3</v>
      </c>
      <c r="R101" s="2">
        <v>8399.7000000000007</v>
      </c>
    </row>
    <row r="102" spans="1:18">
      <c r="A102" s="2">
        <v>101</v>
      </c>
      <c r="B102" s="2" t="s">
        <v>25</v>
      </c>
      <c r="C102" s="2" t="s">
        <v>39</v>
      </c>
      <c r="D102" s="2" t="s">
        <v>20</v>
      </c>
      <c r="E102" s="2">
        <v>14</v>
      </c>
      <c r="F102" s="2">
        <v>304</v>
      </c>
      <c r="G102" s="2">
        <v>0</v>
      </c>
      <c r="H102" s="2" t="s">
        <v>32</v>
      </c>
      <c r="I102" s="2">
        <v>2025</v>
      </c>
      <c r="J102" s="2">
        <v>18887</v>
      </c>
      <c r="K102" s="2" t="s">
        <v>22</v>
      </c>
      <c r="L102" s="2" t="s">
        <v>33</v>
      </c>
      <c r="M102" s="2" t="s">
        <v>24</v>
      </c>
      <c r="N102" s="2">
        <v>79</v>
      </c>
      <c r="O102" s="2">
        <v>43</v>
      </c>
      <c r="P102" s="2">
        <v>4256</v>
      </c>
      <c r="Q102" s="2">
        <v>0</v>
      </c>
      <c r="R102" s="2">
        <v>4256</v>
      </c>
    </row>
    <row r="103" spans="1:18">
      <c r="A103" s="2">
        <v>102</v>
      </c>
      <c r="B103" s="2" t="s">
        <v>18</v>
      </c>
      <c r="C103" s="2" t="s">
        <v>39</v>
      </c>
      <c r="D103" s="2" t="s">
        <v>40</v>
      </c>
      <c r="E103" s="2">
        <v>15</v>
      </c>
      <c r="F103" s="2">
        <v>225</v>
      </c>
      <c r="G103" s="2">
        <v>5</v>
      </c>
      <c r="H103" s="2" t="s">
        <v>28</v>
      </c>
      <c r="I103" s="2">
        <v>2023</v>
      </c>
      <c r="J103" s="2">
        <v>9225</v>
      </c>
      <c r="K103" s="2" t="s">
        <v>22</v>
      </c>
      <c r="L103" s="2" t="s">
        <v>29</v>
      </c>
      <c r="M103" s="2" t="s">
        <v>37</v>
      </c>
      <c r="N103" s="2">
        <v>27</v>
      </c>
      <c r="O103" s="2">
        <v>37</v>
      </c>
      <c r="P103" s="2">
        <v>3375</v>
      </c>
      <c r="Q103" s="2">
        <v>168.75</v>
      </c>
      <c r="R103" s="2">
        <v>3206.25</v>
      </c>
    </row>
    <row r="104" spans="1:18">
      <c r="A104" s="2">
        <v>103</v>
      </c>
      <c r="B104" s="2" t="s">
        <v>25</v>
      </c>
      <c r="C104" s="2" t="s">
        <v>39</v>
      </c>
      <c r="D104" s="2" t="s">
        <v>42</v>
      </c>
      <c r="E104" s="2">
        <v>1</v>
      </c>
      <c r="F104" s="2">
        <v>846</v>
      </c>
      <c r="G104" s="2">
        <v>0</v>
      </c>
      <c r="H104" s="2" t="s">
        <v>21</v>
      </c>
      <c r="I104" s="2">
        <v>2023</v>
      </c>
      <c r="J104" s="2">
        <v>8067</v>
      </c>
      <c r="K104" s="2" t="s">
        <v>36</v>
      </c>
      <c r="L104" s="2" t="s">
        <v>23</v>
      </c>
      <c r="M104" s="2" t="s">
        <v>30</v>
      </c>
      <c r="N104" s="2">
        <v>92</v>
      </c>
      <c r="O104" s="2">
        <v>19</v>
      </c>
      <c r="P104" s="2">
        <v>846</v>
      </c>
      <c r="Q104" s="2">
        <v>0</v>
      </c>
      <c r="R104" s="2">
        <v>846</v>
      </c>
    </row>
    <row r="105" spans="1:18">
      <c r="A105" s="2">
        <v>104</v>
      </c>
      <c r="B105" s="2" t="s">
        <v>18</v>
      </c>
      <c r="C105" s="2" t="s">
        <v>26</v>
      </c>
      <c r="D105" s="2" t="s">
        <v>40</v>
      </c>
      <c r="E105" s="2">
        <v>3</v>
      </c>
      <c r="F105" s="2">
        <v>142</v>
      </c>
      <c r="G105" s="2">
        <v>0</v>
      </c>
      <c r="H105" s="2" t="s">
        <v>41</v>
      </c>
      <c r="I105" s="2">
        <v>2025</v>
      </c>
      <c r="J105" s="2">
        <v>10941</v>
      </c>
      <c r="K105" s="2" t="s">
        <v>36</v>
      </c>
      <c r="L105" s="2" t="s">
        <v>29</v>
      </c>
      <c r="M105" s="2" t="s">
        <v>37</v>
      </c>
      <c r="N105" s="2">
        <v>31</v>
      </c>
      <c r="O105" s="2">
        <v>22</v>
      </c>
      <c r="P105" s="2">
        <v>426</v>
      </c>
      <c r="Q105" s="2">
        <v>0</v>
      </c>
      <c r="R105" s="2">
        <v>426</v>
      </c>
    </row>
    <row r="106" spans="1:18">
      <c r="A106" s="2">
        <v>105</v>
      </c>
      <c r="B106" s="2" t="s">
        <v>38</v>
      </c>
      <c r="C106" s="2" t="s">
        <v>31</v>
      </c>
      <c r="D106" s="2" t="s">
        <v>40</v>
      </c>
      <c r="E106" s="2">
        <v>16</v>
      </c>
      <c r="F106" s="2">
        <v>851</v>
      </c>
      <c r="G106" s="2">
        <v>0</v>
      </c>
      <c r="H106" s="2" t="s">
        <v>32</v>
      </c>
      <c r="I106" s="2">
        <v>2025</v>
      </c>
      <c r="J106" s="2">
        <v>6386</v>
      </c>
      <c r="K106" s="2" t="s">
        <v>22</v>
      </c>
      <c r="L106" s="2" t="s">
        <v>29</v>
      </c>
      <c r="M106" s="2" t="s">
        <v>24</v>
      </c>
      <c r="N106" s="2">
        <v>46</v>
      </c>
      <c r="O106" s="2">
        <v>44</v>
      </c>
      <c r="P106" s="2">
        <v>13616</v>
      </c>
      <c r="Q106" s="2">
        <v>0</v>
      </c>
      <c r="R106" s="2">
        <v>13616</v>
      </c>
    </row>
    <row r="107" spans="1:18">
      <c r="A107" s="2">
        <v>106</v>
      </c>
      <c r="B107" s="2" t="s">
        <v>43</v>
      </c>
      <c r="C107" s="2" t="s">
        <v>39</v>
      </c>
      <c r="D107" s="2" t="s">
        <v>20</v>
      </c>
      <c r="E107" s="2">
        <v>11</v>
      </c>
      <c r="F107" s="2">
        <v>982</v>
      </c>
      <c r="G107" s="2">
        <v>0</v>
      </c>
      <c r="H107" s="2" t="s">
        <v>35</v>
      </c>
      <c r="I107" s="2">
        <v>2025</v>
      </c>
      <c r="J107" s="2">
        <v>16968</v>
      </c>
      <c r="K107" s="2" t="s">
        <v>22</v>
      </c>
      <c r="L107" s="2" t="s">
        <v>23</v>
      </c>
      <c r="M107" s="2" t="s">
        <v>24</v>
      </c>
      <c r="N107" s="2">
        <v>65</v>
      </c>
      <c r="O107" s="2">
        <v>15</v>
      </c>
      <c r="P107" s="2">
        <v>10802</v>
      </c>
      <c r="Q107" s="2">
        <v>0</v>
      </c>
      <c r="R107" s="2">
        <v>10802</v>
      </c>
    </row>
    <row r="108" spans="1:18">
      <c r="A108" s="2">
        <v>107</v>
      </c>
      <c r="B108" s="2" t="s">
        <v>43</v>
      </c>
      <c r="C108" s="2" t="s">
        <v>19</v>
      </c>
      <c r="D108" s="2" t="s">
        <v>42</v>
      </c>
      <c r="E108" s="2">
        <v>12</v>
      </c>
      <c r="F108" s="2">
        <v>210</v>
      </c>
      <c r="G108" s="2">
        <v>5</v>
      </c>
      <c r="H108" s="2" t="s">
        <v>32</v>
      </c>
      <c r="I108" s="2">
        <v>2024</v>
      </c>
      <c r="J108" s="2">
        <v>7866</v>
      </c>
      <c r="K108" s="2" t="s">
        <v>36</v>
      </c>
      <c r="L108" s="2" t="s">
        <v>23</v>
      </c>
      <c r="M108" s="2" t="s">
        <v>37</v>
      </c>
      <c r="N108" s="2">
        <v>68</v>
      </c>
      <c r="O108" s="2">
        <v>49</v>
      </c>
      <c r="P108" s="2">
        <v>2520</v>
      </c>
      <c r="Q108" s="2">
        <v>126</v>
      </c>
      <c r="R108" s="2">
        <v>2394</v>
      </c>
    </row>
    <row r="109" spans="1:18">
      <c r="A109" s="2">
        <v>108</v>
      </c>
      <c r="B109" s="2" t="s">
        <v>43</v>
      </c>
      <c r="C109" s="2" t="s">
        <v>26</v>
      </c>
      <c r="D109" s="2" t="s">
        <v>27</v>
      </c>
      <c r="E109" s="2">
        <v>10</v>
      </c>
      <c r="F109" s="2">
        <v>860</v>
      </c>
      <c r="G109" s="2">
        <v>0</v>
      </c>
      <c r="H109" s="2" t="s">
        <v>35</v>
      </c>
      <c r="I109" s="2">
        <v>2024</v>
      </c>
      <c r="J109" s="2">
        <v>9788</v>
      </c>
      <c r="K109" s="2" t="s">
        <v>22</v>
      </c>
      <c r="L109" s="2" t="s">
        <v>33</v>
      </c>
      <c r="M109" s="2" t="s">
        <v>37</v>
      </c>
      <c r="N109" s="2">
        <v>12</v>
      </c>
      <c r="O109" s="2">
        <v>41</v>
      </c>
      <c r="P109" s="2">
        <v>8600</v>
      </c>
      <c r="Q109" s="2">
        <v>0</v>
      </c>
      <c r="R109" s="2">
        <v>8600</v>
      </c>
    </row>
    <row r="110" spans="1:18">
      <c r="A110" s="2">
        <v>109</v>
      </c>
      <c r="B110" s="2" t="s">
        <v>25</v>
      </c>
      <c r="C110" s="2" t="s">
        <v>39</v>
      </c>
      <c r="D110" s="2" t="s">
        <v>20</v>
      </c>
      <c r="E110" s="2">
        <v>16</v>
      </c>
      <c r="F110" s="2">
        <v>762</v>
      </c>
      <c r="G110" s="2">
        <v>5</v>
      </c>
      <c r="H110" s="2" t="s">
        <v>32</v>
      </c>
      <c r="I110" s="2">
        <v>2025</v>
      </c>
      <c r="J110" s="2">
        <v>16555</v>
      </c>
      <c r="K110" s="2" t="s">
        <v>22</v>
      </c>
      <c r="L110" s="2" t="s">
        <v>23</v>
      </c>
      <c r="M110" s="2" t="s">
        <v>24</v>
      </c>
      <c r="N110" s="2">
        <v>37</v>
      </c>
      <c r="O110" s="2">
        <v>7</v>
      </c>
      <c r="P110" s="2">
        <v>12192</v>
      </c>
      <c r="Q110" s="2">
        <v>609.6</v>
      </c>
      <c r="R110" s="2">
        <v>11582.4</v>
      </c>
    </row>
    <row r="111" spans="1:18">
      <c r="A111" s="2">
        <v>110</v>
      </c>
      <c r="B111" s="2" t="s">
        <v>38</v>
      </c>
      <c r="C111" s="2" t="s">
        <v>39</v>
      </c>
      <c r="D111" s="2" t="s">
        <v>42</v>
      </c>
      <c r="E111" s="2">
        <v>8</v>
      </c>
      <c r="F111" s="2">
        <v>282</v>
      </c>
      <c r="G111" s="2">
        <v>5</v>
      </c>
      <c r="H111" s="2" t="s">
        <v>32</v>
      </c>
      <c r="I111" s="2">
        <v>2024</v>
      </c>
      <c r="J111" s="2">
        <v>10490</v>
      </c>
      <c r="K111" s="2" t="s">
        <v>36</v>
      </c>
      <c r="L111" s="2" t="s">
        <v>33</v>
      </c>
      <c r="M111" s="2" t="s">
        <v>30</v>
      </c>
      <c r="N111" s="2">
        <v>83</v>
      </c>
      <c r="O111" s="2">
        <v>49</v>
      </c>
      <c r="P111" s="2">
        <v>2256</v>
      </c>
      <c r="Q111" s="2">
        <v>112.8</v>
      </c>
      <c r="R111" s="2">
        <v>2143.1999999999998</v>
      </c>
    </row>
    <row r="112" spans="1:18">
      <c r="A112" s="2">
        <v>111</v>
      </c>
      <c r="B112" s="2" t="s">
        <v>18</v>
      </c>
      <c r="C112" s="2" t="s">
        <v>19</v>
      </c>
      <c r="D112" s="2" t="s">
        <v>42</v>
      </c>
      <c r="E112" s="2">
        <v>6</v>
      </c>
      <c r="F112" s="2">
        <v>947</v>
      </c>
      <c r="G112" s="2">
        <v>10</v>
      </c>
      <c r="H112" s="2" t="s">
        <v>32</v>
      </c>
      <c r="I112" s="2">
        <v>2024</v>
      </c>
      <c r="J112" s="2">
        <v>18081</v>
      </c>
      <c r="K112" s="2" t="s">
        <v>22</v>
      </c>
      <c r="L112" s="2" t="s">
        <v>23</v>
      </c>
      <c r="M112" s="2" t="s">
        <v>30</v>
      </c>
      <c r="N112" s="2">
        <v>44</v>
      </c>
      <c r="O112" s="2">
        <v>20</v>
      </c>
      <c r="P112" s="2">
        <v>5682</v>
      </c>
      <c r="Q112" s="2">
        <v>568.20000000000005</v>
      </c>
      <c r="R112" s="2">
        <v>5113.8</v>
      </c>
    </row>
    <row r="113" spans="1:18">
      <c r="A113" s="2">
        <v>112</v>
      </c>
      <c r="B113" s="2" t="s">
        <v>34</v>
      </c>
      <c r="C113" s="2" t="s">
        <v>31</v>
      </c>
      <c r="D113" s="2" t="s">
        <v>42</v>
      </c>
      <c r="E113" s="2">
        <v>12</v>
      </c>
      <c r="F113" s="2">
        <v>194</v>
      </c>
      <c r="G113" s="2">
        <v>15</v>
      </c>
      <c r="H113" s="2" t="s">
        <v>35</v>
      </c>
      <c r="I113" s="2">
        <v>2023</v>
      </c>
      <c r="J113" s="2">
        <v>9124</v>
      </c>
      <c r="K113" s="2" t="s">
        <v>36</v>
      </c>
      <c r="L113" s="2" t="s">
        <v>29</v>
      </c>
      <c r="M113" s="2" t="s">
        <v>37</v>
      </c>
      <c r="N113" s="2">
        <v>70</v>
      </c>
      <c r="O113" s="2">
        <v>0</v>
      </c>
      <c r="P113" s="2">
        <v>2328</v>
      </c>
      <c r="Q113" s="2">
        <v>349.2</v>
      </c>
      <c r="R113" s="2">
        <v>1978.8</v>
      </c>
    </row>
    <row r="114" spans="1:18">
      <c r="A114" s="2">
        <v>113</v>
      </c>
      <c r="B114" s="2" t="s">
        <v>18</v>
      </c>
      <c r="C114" s="2" t="s">
        <v>31</v>
      </c>
      <c r="D114" s="2" t="s">
        <v>42</v>
      </c>
      <c r="E114" s="2">
        <v>8</v>
      </c>
      <c r="F114" s="2">
        <v>473</v>
      </c>
      <c r="G114" s="2">
        <v>15</v>
      </c>
      <c r="H114" s="2" t="s">
        <v>35</v>
      </c>
      <c r="I114" s="2">
        <v>2025</v>
      </c>
      <c r="J114" s="2">
        <v>13340</v>
      </c>
      <c r="K114" s="2" t="s">
        <v>22</v>
      </c>
      <c r="L114" s="2" t="s">
        <v>33</v>
      </c>
      <c r="M114" s="2" t="s">
        <v>30</v>
      </c>
      <c r="N114" s="2">
        <v>63</v>
      </c>
      <c r="O114" s="2">
        <v>7</v>
      </c>
      <c r="P114" s="2">
        <v>3784</v>
      </c>
      <c r="Q114" s="2">
        <v>567.6</v>
      </c>
      <c r="R114" s="2">
        <v>3216.4</v>
      </c>
    </row>
    <row r="115" spans="1:18">
      <c r="A115" s="2">
        <v>114</v>
      </c>
      <c r="B115" s="2" t="s">
        <v>34</v>
      </c>
      <c r="C115" s="2" t="s">
        <v>31</v>
      </c>
      <c r="D115" s="2" t="s">
        <v>42</v>
      </c>
      <c r="E115" s="2">
        <v>4</v>
      </c>
      <c r="F115" s="2">
        <v>619</v>
      </c>
      <c r="G115" s="2">
        <v>5</v>
      </c>
      <c r="H115" s="2" t="s">
        <v>32</v>
      </c>
      <c r="I115" s="2">
        <v>2025</v>
      </c>
      <c r="J115" s="2">
        <v>8850</v>
      </c>
      <c r="K115" s="2" t="s">
        <v>36</v>
      </c>
      <c r="L115" s="2" t="s">
        <v>33</v>
      </c>
      <c r="M115" s="2" t="s">
        <v>24</v>
      </c>
      <c r="N115" s="2">
        <v>72</v>
      </c>
      <c r="O115" s="2">
        <v>28</v>
      </c>
      <c r="P115" s="2">
        <v>2476</v>
      </c>
      <c r="Q115" s="2">
        <v>123.8</v>
      </c>
      <c r="R115" s="2">
        <v>2352.1999999999998</v>
      </c>
    </row>
    <row r="116" spans="1:18">
      <c r="A116" s="2">
        <v>115</v>
      </c>
      <c r="B116" s="2" t="s">
        <v>18</v>
      </c>
      <c r="C116" s="2" t="s">
        <v>39</v>
      </c>
      <c r="D116" s="2" t="s">
        <v>40</v>
      </c>
      <c r="E116" s="2">
        <v>8</v>
      </c>
      <c r="F116" s="2">
        <v>999</v>
      </c>
      <c r="G116" s="2">
        <v>10</v>
      </c>
      <c r="H116" s="2" t="s">
        <v>21</v>
      </c>
      <c r="I116" s="2">
        <v>2024</v>
      </c>
      <c r="J116" s="2">
        <v>10415</v>
      </c>
      <c r="K116" s="2" t="s">
        <v>22</v>
      </c>
      <c r="L116" s="2" t="s">
        <v>33</v>
      </c>
      <c r="M116" s="2" t="s">
        <v>37</v>
      </c>
      <c r="N116" s="2">
        <v>88</v>
      </c>
      <c r="O116" s="2">
        <v>31</v>
      </c>
      <c r="P116" s="2">
        <v>7992</v>
      </c>
      <c r="Q116" s="2">
        <v>799.2</v>
      </c>
      <c r="R116" s="2">
        <v>7192.8</v>
      </c>
    </row>
    <row r="117" spans="1:18">
      <c r="A117" s="2">
        <v>116</v>
      </c>
      <c r="B117" s="2" t="s">
        <v>38</v>
      </c>
      <c r="C117" s="2" t="s">
        <v>39</v>
      </c>
      <c r="D117" s="2" t="s">
        <v>20</v>
      </c>
      <c r="E117" s="2">
        <v>18</v>
      </c>
      <c r="F117" s="2">
        <v>459</v>
      </c>
      <c r="G117" s="2">
        <v>5</v>
      </c>
      <c r="H117" s="2" t="s">
        <v>28</v>
      </c>
      <c r="I117" s="2">
        <v>2025</v>
      </c>
      <c r="J117" s="2">
        <v>15250</v>
      </c>
      <c r="K117" s="2" t="s">
        <v>22</v>
      </c>
      <c r="L117" s="2" t="s">
        <v>29</v>
      </c>
      <c r="M117" s="2" t="s">
        <v>24</v>
      </c>
      <c r="N117" s="2">
        <v>16</v>
      </c>
      <c r="O117" s="2">
        <v>37</v>
      </c>
      <c r="P117" s="2">
        <v>8262</v>
      </c>
      <c r="Q117" s="2">
        <v>413.1</v>
      </c>
      <c r="R117" s="2">
        <v>7848.9</v>
      </c>
    </row>
    <row r="118" spans="1:18">
      <c r="A118" s="2">
        <v>117</v>
      </c>
      <c r="B118" s="2" t="s">
        <v>34</v>
      </c>
      <c r="C118" s="2" t="s">
        <v>39</v>
      </c>
      <c r="D118" s="2" t="s">
        <v>40</v>
      </c>
      <c r="E118" s="2">
        <v>5</v>
      </c>
      <c r="F118" s="2">
        <v>999</v>
      </c>
      <c r="G118" s="2">
        <v>5</v>
      </c>
      <c r="H118" s="2" t="s">
        <v>28</v>
      </c>
      <c r="I118" s="2">
        <v>2023</v>
      </c>
      <c r="J118" s="2">
        <v>12679</v>
      </c>
      <c r="K118" s="2" t="s">
        <v>36</v>
      </c>
      <c r="L118" s="2" t="s">
        <v>29</v>
      </c>
      <c r="M118" s="2" t="s">
        <v>24</v>
      </c>
      <c r="N118" s="2">
        <v>85</v>
      </c>
      <c r="O118" s="2">
        <v>4</v>
      </c>
      <c r="P118" s="2">
        <v>4995</v>
      </c>
      <c r="Q118" s="2">
        <v>249.75</v>
      </c>
      <c r="R118" s="2">
        <v>4745.25</v>
      </c>
    </row>
    <row r="119" spans="1:18">
      <c r="A119" s="2">
        <v>118</v>
      </c>
      <c r="B119" s="2" t="s">
        <v>25</v>
      </c>
      <c r="C119" s="2" t="s">
        <v>26</v>
      </c>
      <c r="D119" s="2" t="s">
        <v>27</v>
      </c>
      <c r="E119" s="2">
        <v>9</v>
      </c>
      <c r="F119" s="2">
        <v>795</v>
      </c>
      <c r="G119" s="2">
        <v>5</v>
      </c>
      <c r="H119" s="2" t="s">
        <v>28</v>
      </c>
      <c r="I119" s="2">
        <v>2023</v>
      </c>
      <c r="J119" s="2">
        <v>11819</v>
      </c>
      <c r="K119" s="2" t="s">
        <v>22</v>
      </c>
      <c r="L119" s="2" t="s">
        <v>29</v>
      </c>
      <c r="M119" s="2" t="s">
        <v>30</v>
      </c>
      <c r="N119" s="2">
        <v>58</v>
      </c>
      <c r="O119" s="2">
        <v>46</v>
      </c>
      <c r="P119" s="2">
        <v>7155</v>
      </c>
      <c r="Q119" s="2">
        <v>357.75</v>
      </c>
      <c r="R119" s="2">
        <v>6797.25</v>
      </c>
    </row>
    <row r="120" spans="1:18">
      <c r="A120" s="2">
        <v>119</v>
      </c>
      <c r="B120" s="2" t="s">
        <v>18</v>
      </c>
      <c r="C120" s="2" t="s">
        <v>19</v>
      </c>
      <c r="D120" s="2" t="s">
        <v>42</v>
      </c>
      <c r="E120" s="2">
        <v>4</v>
      </c>
      <c r="F120" s="2">
        <v>380</v>
      </c>
      <c r="G120" s="2">
        <v>10</v>
      </c>
      <c r="H120" s="2" t="s">
        <v>35</v>
      </c>
      <c r="I120" s="2">
        <v>2023</v>
      </c>
      <c r="J120" s="2">
        <v>14328</v>
      </c>
      <c r="K120" s="2" t="s">
        <v>36</v>
      </c>
      <c r="L120" s="2" t="s">
        <v>29</v>
      </c>
      <c r="M120" s="2" t="s">
        <v>37</v>
      </c>
      <c r="N120" s="2">
        <v>94</v>
      </c>
      <c r="O120" s="2">
        <v>21</v>
      </c>
      <c r="P120" s="2">
        <v>1520</v>
      </c>
      <c r="Q120" s="2">
        <v>152</v>
      </c>
      <c r="R120" s="2">
        <v>1368</v>
      </c>
    </row>
    <row r="121" spans="1:18">
      <c r="A121" s="2">
        <v>120</v>
      </c>
      <c r="B121" s="2" t="s">
        <v>18</v>
      </c>
      <c r="C121" s="2" t="s">
        <v>39</v>
      </c>
      <c r="D121" s="2" t="s">
        <v>20</v>
      </c>
      <c r="E121" s="2">
        <v>17</v>
      </c>
      <c r="F121" s="2">
        <v>294</v>
      </c>
      <c r="G121" s="2">
        <v>15</v>
      </c>
      <c r="H121" s="2" t="s">
        <v>35</v>
      </c>
      <c r="I121" s="2">
        <v>2025</v>
      </c>
      <c r="J121" s="2">
        <v>13378</v>
      </c>
      <c r="K121" s="2" t="s">
        <v>22</v>
      </c>
      <c r="L121" s="2" t="s">
        <v>29</v>
      </c>
      <c r="M121" s="2" t="s">
        <v>37</v>
      </c>
      <c r="N121" s="2">
        <v>40</v>
      </c>
      <c r="O121" s="2">
        <v>46</v>
      </c>
      <c r="P121" s="2">
        <v>4998</v>
      </c>
      <c r="Q121" s="2">
        <v>749.7</v>
      </c>
      <c r="R121" s="2">
        <v>4248.3</v>
      </c>
    </row>
    <row r="122" spans="1:18">
      <c r="A122" s="2">
        <v>121</v>
      </c>
      <c r="B122" s="2" t="s">
        <v>34</v>
      </c>
      <c r="C122" s="2" t="s">
        <v>19</v>
      </c>
      <c r="D122" s="2" t="s">
        <v>42</v>
      </c>
      <c r="E122" s="2">
        <v>9</v>
      </c>
      <c r="F122" s="2">
        <v>963</v>
      </c>
      <c r="G122" s="2">
        <v>10</v>
      </c>
      <c r="H122" s="2" t="s">
        <v>21</v>
      </c>
      <c r="I122" s="2">
        <v>2025</v>
      </c>
      <c r="J122" s="2">
        <v>16046</v>
      </c>
      <c r="K122" s="2" t="s">
        <v>36</v>
      </c>
      <c r="L122" s="2" t="s">
        <v>33</v>
      </c>
      <c r="M122" s="2" t="s">
        <v>30</v>
      </c>
      <c r="N122" s="2">
        <v>67</v>
      </c>
      <c r="O122" s="2">
        <v>33</v>
      </c>
      <c r="P122" s="2">
        <v>8667</v>
      </c>
      <c r="Q122" s="2">
        <v>866.7</v>
      </c>
      <c r="R122" s="2">
        <v>7800.3</v>
      </c>
    </row>
    <row r="123" spans="1:18">
      <c r="A123" s="2">
        <v>122</v>
      </c>
      <c r="B123" s="2" t="s">
        <v>25</v>
      </c>
      <c r="C123" s="2" t="s">
        <v>19</v>
      </c>
      <c r="D123" s="2" t="s">
        <v>20</v>
      </c>
      <c r="E123" s="2">
        <v>1</v>
      </c>
      <c r="F123" s="2">
        <v>294</v>
      </c>
      <c r="G123" s="2">
        <v>0</v>
      </c>
      <c r="H123" s="2" t="s">
        <v>28</v>
      </c>
      <c r="I123" s="2">
        <v>2025</v>
      </c>
      <c r="J123" s="2">
        <v>14442</v>
      </c>
      <c r="K123" s="2" t="s">
        <v>36</v>
      </c>
      <c r="L123" s="2" t="s">
        <v>29</v>
      </c>
      <c r="M123" s="2" t="s">
        <v>24</v>
      </c>
      <c r="N123" s="2">
        <v>70</v>
      </c>
      <c r="O123" s="2">
        <v>0</v>
      </c>
      <c r="P123" s="2">
        <v>294</v>
      </c>
      <c r="Q123" s="2">
        <v>0</v>
      </c>
      <c r="R123" s="2">
        <v>294</v>
      </c>
    </row>
    <row r="124" spans="1:18">
      <c r="A124" s="2">
        <v>123</v>
      </c>
      <c r="B124" s="2" t="s">
        <v>25</v>
      </c>
      <c r="C124" s="2" t="s">
        <v>31</v>
      </c>
      <c r="D124" s="2" t="s">
        <v>40</v>
      </c>
      <c r="E124" s="2">
        <v>13</v>
      </c>
      <c r="F124" s="2">
        <v>766</v>
      </c>
      <c r="G124" s="2">
        <v>10</v>
      </c>
      <c r="H124" s="2" t="s">
        <v>28</v>
      </c>
      <c r="I124" s="2">
        <v>2025</v>
      </c>
      <c r="J124" s="2">
        <v>6333</v>
      </c>
      <c r="K124" s="2" t="s">
        <v>36</v>
      </c>
      <c r="L124" s="2" t="s">
        <v>33</v>
      </c>
      <c r="M124" s="2" t="s">
        <v>24</v>
      </c>
      <c r="N124" s="2">
        <v>33</v>
      </c>
      <c r="O124" s="2">
        <v>25</v>
      </c>
      <c r="P124" s="2">
        <v>9958</v>
      </c>
      <c r="Q124" s="2">
        <v>995.8</v>
      </c>
      <c r="R124" s="2">
        <v>8962.2000000000007</v>
      </c>
    </row>
    <row r="125" spans="1:18">
      <c r="A125" s="2">
        <v>124</v>
      </c>
      <c r="B125" s="2" t="s">
        <v>38</v>
      </c>
      <c r="C125" s="2" t="s">
        <v>26</v>
      </c>
      <c r="D125" s="2" t="s">
        <v>20</v>
      </c>
      <c r="E125" s="2">
        <v>16</v>
      </c>
      <c r="F125" s="2">
        <v>192</v>
      </c>
      <c r="G125" s="2">
        <v>10</v>
      </c>
      <c r="H125" s="2" t="s">
        <v>32</v>
      </c>
      <c r="I125" s="2">
        <v>2025</v>
      </c>
      <c r="J125" s="2">
        <v>17385</v>
      </c>
      <c r="K125" s="2" t="s">
        <v>36</v>
      </c>
      <c r="L125" s="2" t="s">
        <v>29</v>
      </c>
      <c r="M125" s="2" t="s">
        <v>24</v>
      </c>
      <c r="N125" s="2">
        <v>29</v>
      </c>
      <c r="O125" s="2">
        <v>42</v>
      </c>
      <c r="P125" s="2">
        <v>3072</v>
      </c>
      <c r="Q125" s="2">
        <v>307.2</v>
      </c>
      <c r="R125" s="2">
        <v>2764.8</v>
      </c>
    </row>
    <row r="126" spans="1:18">
      <c r="A126" s="2">
        <v>125</v>
      </c>
      <c r="B126" s="2" t="s">
        <v>25</v>
      </c>
      <c r="C126" s="2" t="s">
        <v>39</v>
      </c>
      <c r="D126" s="2" t="s">
        <v>27</v>
      </c>
      <c r="E126" s="2">
        <v>13</v>
      </c>
      <c r="F126" s="2">
        <v>771</v>
      </c>
      <c r="G126" s="2">
        <v>10</v>
      </c>
      <c r="H126" s="2" t="s">
        <v>35</v>
      </c>
      <c r="I126" s="2">
        <v>2023</v>
      </c>
      <c r="J126" s="2">
        <v>9150</v>
      </c>
      <c r="K126" s="2" t="s">
        <v>22</v>
      </c>
      <c r="L126" s="2" t="s">
        <v>23</v>
      </c>
      <c r="M126" s="2" t="s">
        <v>24</v>
      </c>
      <c r="N126" s="2">
        <v>46</v>
      </c>
      <c r="O126" s="2">
        <v>9</v>
      </c>
      <c r="P126" s="2">
        <v>10023</v>
      </c>
      <c r="Q126" s="2">
        <v>1002.3</v>
      </c>
      <c r="R126" s="2">
        <v>9020.7000000000007</v>
      </c>
    </row>
    <row r="127" spans="1:18">
      <c r="A127" s="2">
        <v>126</v>
      </c>
      <c r="B127" s="2" t="s">
        <v>25</v>
      </c>
      <c r="C127" s="2" t="s">
        <v>31</v>
      </c>
      <c r="D127" s="2" t="s">
        <v>27</v>
      </c>
      <c r="E127" s="2">
        <v>14</v>
      </c>
      <c r="F127" s="2">
        <v>160</v>
      </c>
      <c r="G127" s="2">
        <v>10</v>
      </c>
      <c r="H127" s="2" t="s">
        <v>28</v>
      </c>
      <c r="I127" s="2">
        <v>2024</v>
      </c>
      <c r="J127" s="2">
        <v>11766</v>
      </c>
      <c r="K127" s="2" t="s">
        <v>22</v>
      </c>
      <c r="L127" s="2" t="s">
        <v>33</v>
      </c>
      <c r="M127" s="2" t="s">
        <v>37</v>
      </c>
      <c r="N127" s="2">
        <v>13</v>
      </c>
      <c r="O127" s="2">
        <v>29</v>
      </c>
      <c r="P127" s="2">
        <v>2240</v>
      </c>
      <c r="Q127" s="2">
        <v>224</v>
      </c>
      <c r="R127" s="2">
        <v>2016</v>
      </c>
    </row>
    <row r="128" spans="1:18">
      <c r="A128" s="2">
        <v>127</v>
      </c>
      <c r="B128" s="2" t="s">
        <v>25</v>
      </c>
      <c r="C128" s="2" t="s">
        <v>31</v>
      </c>
      <c r="D128" s="2" t="s">
        <v>20</v>
      </c>
      <c r="E128" s="2">
        <v>3</v>
      </c>
      <c r="F128" s="2">
        <v>733</v>
      </c>
      <c r="G128" s="2">
        <v>15</v>
      </c>
      <c r="H128" s="2" t="s">
        <v>21</v>
      </c>
      <c r="I128" s="2">
        <v>2023</v>
      </c>
      <c r="J128" s="2">
        <v>7711</v>
      </c>
      <c r="K128" s="2" t="s">
        <v>36</v>
      </c>
      <c r="L128" s="2" t="s">
        <v>23</v>
      </c>
      <c r="M128" s="2" t="s">
        <v>37</v>
      </c>
      <c r="N128" s="2">
        <v>29</v>
      </c>
      <c r="O128" s="2">
        <v>49</v>
      </c>
      <c r="P128" s="2">
        <v>2199</v>
      </c>
      <c r="Q128" s="2">
        <v>329.85</v>
      </c>
      <c r="R128" s="2">
        <v>1869.15</v>
      </c>
    </row>
    <row r="129" spans="1:18">
      <c r="A129" s="2">
        <v>128</v>
      </c>
      <c r="B129" s="2" t="s">
        <v>43</v>
      </c>
      <c r="C129" s="2" t="s">
        <v>39</v>
      </c>
      <c r="D129" s="2" t="s">
        <v>20</v>
      </c>
      <c r="E129" s="2">
        <v>6</v>
      </c>
      <c r="F129" s="2">
        <v>150</v>
      </c>
      <c r="G129" s="2">
        <v>0</v>
      </c>
      <c r="H129" s="2" t="s">
        <v>21</v>
      </c>
      <c r="I129" s="2">
        <v>2025</v>
      </c>
      <c r="J129" s="2">
        <v>9853</v>
      </c>
      <c r="K129" s="2" t="s">
        <v>36</v>
      </c>
      <c r="L129" s="2" t="s">
        <v>33</v>
      </c>
      <c r="M129" s="2" t="s">
        <v>30</v>
      </c>
      <c r="N129" s="2">
        <v>69</v>
      </c>
      <c r="O129" s="2">
        <v>17</v>
      </c>
      <c r="P129" s="2">
        <v>900</v>
      </c>
      <c r="Q129" s="2">
        <v>0</v>
      </c>
      <c r="R129" s="2">
        <v>900</v>
      </c>
    </row>
    <row r="130" spans="1:18">
      <c r="A130" s="2">
        <v>129</v>
      </c>
      <c r="B130" s="2" t="s">
        <v>38</v>
      </c>
      <c r="C130" s="2" t="s">
        <v>19</v>
      </c>
      <c r="D130" s="2" t="s">
        <v>20</v>
      </c>
      <c r="E130" s="2">
        <v>18</v>
      </c>
      <c r="F130" s="2">
        <v>502</v>
      </c>
      <c r="G130" s="2">
        <v>15</v>
      </c>
      <c r="H130" s="2" t="s">
        <v>28</v>
      </c>
      <c r="I130" s="2">
        <v>2023</v>
      </c>
      <c r="J130" s="2">
        <v>17693</v>
      </c>
      <c r="K130" s="2" t="s">
        <v>36</v>
      </c>
      <c r="L130" s="2" t="s">
        <v>23</v>
      </c>
      <c r="M130" s="2" t="s">
        <v>30</v>
      </c>
      <c r="N130" s="2">
        <v>33</v>
      </c>
      <c r="O130" s="2">
        <v>16</v>
      </c>
      <c r="P130" s="2">
        <v>9036</v>
      </c>
      <c r="Q130" s="2">
        <v>1355.4</v>
      </c>
      <c r="R130" s="2">
        <v>7680.6</v>
      </c>
    </row>
    <row r="131" spans="1:18">
      <c r="A131" s="2">
        <v>130</v>
      </c>
      <c r="B131" s="2" t="s">
        <v>18</v>
      </c>
      <c r="C131" s="2" t="s">
        <v>31</v>
      </c>
      <c r="D131" s="2" t="s">
        <v>20</v>
      </c>
      <c r="E131" s="2">
        <v>19</v>
      </c>
      <c r="F131" s="2">
        <v>888</v>
      </c>
      <c r="G131" s="2">
        <v>15</v>
      </c>
      <c r="H131" s="2" t="s">
        <v>35</v>
      </c>
      <c r="I131" s="2">
        <v>2025</v>
      </c>
      <c r="J131" s="2">
        <v>11212</v>
      </c>
      <c r="K131" s="2" t="s">
        <v>22</v>
      </c>
      <c r="L131" s="2" t="s">
        <v>29</v>
      </c>
      <c r="M131" s="2" t="s">
        <v>37</v>
      </c>
      <c r="N131" s="2">
        <v>59</v>
      </c>
      <c r="O131" s="2">
        <v>25</v>
      </c>
      <c r="P131" s="2">
        <v>16872</v>
      </c>
      <c r="Q131" s="2">
        <v>2530.8000000000002</v>
      </c>
      <c r="R131" s="2">
        <v>14341.2</v>
      </c>
    </row>
    <row r="132" spans="1:18">
      <c r="A132" s="2">
        <v>131</v>
      </c>
      <c r="B132" s="2" t="s">
        <v>34</v>
      </c>
      <c r="C132" s="2" t="s">
        <v>19</v>
      </c>
      <c r="D132" s="2" t="s">
        <v>27</v>
      </c>
      <c r="E132" s="2">
        <v>5</v>
      </c>
      <c r="F132" s="2">
        <v>104</v>
      </c>
      <c r="G132" s="2">
        <v>10</v>
      </c>
      <c r="H132" s="2" t="s">
        <v>21</v>
      </c>
      <c r="I132" s="2">
        <v>2025</v>
      </c>
      <c r="J132" s="2">
        <v>12479</v>
      </c>
      <c r="K132" s="2" t="s">
        <v>22</v>
      </c>
      <c r="L132" s="2" t="s">
        <v>29</v>
      </c>
      <c r="M132" s="2" t="s">
        <v>37</v>
      </c>
      <c r="N132" s="2">
        <v>58</v>
      </c>
      <c r="O132" s="2">
        <v>7</v>
      </c>
      <c r="P132" s="2">
        <v>520</v>
      </c>
      <c r="Q132" s="2">
        <v>52</v>
      </c>
      <c r="R132" s="2">
        <v>468</v>
      </c>
    </row>
    <row r="133" spans="1:18">
      <c r="A133" s="2">
        <v>132</v>
      </c>
      <c r="B133" s="2" t="s">
        <v>18</v>
      </c>
      <c r="C133" s="2" t="s">
        <v>26</v>
      </c>
      <c r="D133" s="2" t="s">
        <v>42</v>
      </c>
      <c r="E133" s="2">
        <v>15</v>
      </c>
      <c r="F133" s="2">
        <v>565</v>
      </c>
      <c r="G133" s="2">
        <v>5</v>
      </c>
      <c r="H133" s="2" t="s">
        <v>32</v>
      </c>
      <c r="I133" s="2">
        <v>2023</v>
      </c>
      <c r="J133" s="2">
        <v>10408</v>
      </c>
      <c r="K133" s="2" t="s">
        <v>22</v>
      </c>
      <c r="L133" s="2" t="s">
        <v>29</v>
      </c>
      <c r="M133" s="2" t="s">
        <v>24</v>
      </c>
      <c r="N133" s="2">
        <v>60</v>
      </c>
      <c r="O133" s="2">
        <v>46</v>
      </c>
      <c r="P133" s="2">
        <v>8475</v>
      </c>
      <c r="Q133" s="2">
        <v>423.75</v>
      </c>
      <c r="R133" s="2">
        <v>8051.25</v>
      </c>
    </row>
    <row r="134" spans="1:18">
      <c r="A134" s="2">
        <v>133</v>
      </c>
      <c r="B134" s="2" t="s">
        <v>38</v>
      </c>
      <c r="C134" s="2" t="s">
        <v>19</v>
      </c>
      <c r="D134" s="2" t="s">
        <v>20</v>
      </c>
      <c r="E134" s="2">
        <v>2</v>
      </c>
      <c r="F134" s="2">
        <v>703</v>
      </c>
      <c r="G134" s="2">
        <v>5</v>
      </c>
      <c r="H134" s="2" t="s">
        <v>21</v>
      </c>
      <c r="I134" s="2">
        <v>2025</v>
      </c>
      <c r="J134" s="2">
        <v>14977</v>
      </c>
      <c r="K134" s="2" t="s">
        <v>22</v>
      </c>
      <c r="L134" s="2" t="s">
        <v>33</v>
      </c>
      <c r="M134" s="2" t="s">
        <v>24</v>
      </c>
      <c r="N134" s="2">
        <v>45</v>
      </c>
      <c r="O134" s="2">
        <v>39</v>
      </c>
      <c r="P134" s="2">
        <v>1406</v>
      </c>
      <c r="Q134" s="2">
        <v>70.3</v>
      </c>
      <c r="R134" s="2">
        <v>1335.7</v>
      </c>
    </row>
    <row r="135" spans="1:18">
      <c r="A135" s="2">
        <v>134</v>
      </c>
      <c r="B135" s="2" t="s">
        <v>34</v>
      </c>
      <c r="C135" s="2" t="s">
        <v>26</v>
      </c>
      <c r="D135" s="2" t="s">
        <v>20</v>
      </c>
      <c r="E135" s="2">
        <v>10</v>
      </c>
      <c r="F135" s="2">
        <v>781</v>
      </c>
      <c r="G135" s="2">
        <v>15</v>
      </c>
      <c r="H135" s="2" t="s">
        <v>41</v>
      </c>
      <c r="I135" s="2">
        <v>2024</v>
      </c>
      <c r="J135" s="2">
        <v>12715</v>
      </c>
      <c r="K135" s="2" t="s">
        <v>36</v>
      </c>
      <c r="L135" s="2" t="s">
        <v>23</v>
      </c>
      <c r="M135" s="2" t="s">
        <v>30</v>
      </c>
      <c r="N135" s="2">
        <v>75</v>
      </c>
      <c r="O135" s="2">
        <v>48</v>
      </c>
      <c r="P135" s="2">
        <v>7810</v>
      </c>
      <c r="Q135" s="2">
        <v>1171.5</v>
      </c>
      <c r="R135" s="2">
        <v>6638.5</v>
      </c>
    </row>
    <row r="136" spans="1:18">
      <c r="A136" s="2">
        <v>135</v>
      </c>
      <c r="B136" s="2" t="s">
        <v>38</v>
      </c>
      <c r="C136" s="2" t="s">
        <v>19</v>
      </c>
      <c r="D136" s="2" t="s">
        <v>27</v>
      </c>
      <c r="E136" s="2">
        <v>18</v>
      </c>
      <c r="F136" s="2">
        <v>928</v>
      </c>
      <c r="G136" s="2">
        <v>15</v>
      </c>
      <c r="H136" s="2" t="s">
        <v>41</v>
      </c>
      <c r="I136" s="2">
        <v>2025</v>
      </c>
      <c r="J136" s="2">
        <v>13942</v>
      </c>
      <c r="K136" s="2" t="s">
        <v>36</v>
      </c>
      <c r="L136" s="2" t="s">
        <v>29</v>
      </c>
      <c r="M136" s="2" t="s">
        <v>37</v>
      </c>
      <c r="N136" s="2">
        <v>88</v>
      </c>
      <c r="O136" s="2">
        <v>11</v>
      </c>
      <c r="P136" s="2">
        <v>16704</v>
      </c>
      <c r="Q136" s="2">
        <v>2505.6</v>
      </c>
      <c r="R136" s="2">
        <v>14198.4</v>
      </c>
    </row>
    <row r="137" spans="1:18">
      <c r="A137" s="2">
        <v>136</v>
      </c>
      <c r="B137" s="2" t="s">
        <v>25</v>
      </c>
      <c r="C137" s="2" t="s">
        <v>31</v>
      </c>
      <c r="D137" s="2" t="s">
        <v>27</v>
      </c>
      <c r="E137" s="2">
        <v>13</v>
      </c>
      <c r="F137" s="2">
        <v>633</v>
      </c>
      <c r="G137" s="2">
        <v>10</v>
      </c>
      <c r="H137" s="2" t="s">
        <v>35</v>
      </c>
      <c r="I137" s="2">
        <v>2024</v>
      </c>
      <c r="J137" s="2">
        <v>6762</v>
      </c>
      <c r="K137" s="2" t="s">
        <v>36</v>
      </c>
      <c r="L137" s="2" t="s">
        <v>23</v>
      </c>
      <c r="M137" s="2" t="s">
        <v>30</v>
      </c>
      <c r="N137" s="2">
        <v>43</v>
      </c>
      <c r="O137" s="2">
        <v>26</v>
      </c>
      <c r="P137" s="2">
        <v>8229</v>
      </c>
      <c r="Q137" s="2">
        <v>822.9</v>
      </c>
      <c r="R137" s="2">
        <v>7406.1</v>
      </c>
    </row>
    <row r="138" spans="1:18">
      <c r="A138" s="2">
        <v>137</v>
      </c>
      <c r="B138" s="2" t="s">
        <v>34</v>
      </c>
      <c r="C138" s="2" t="s">
        <v>31</v>
      </c>
      <c r="D138" s="2" t="s">
        <v>40</v>
      </c>
      <c r="E138" s="2">
        <v>5</v>
      </c>
      <c r="F138" s="2">
        <v>504</v>
      </c>
      <c r="G138" s="2">
        <v>15</v>
      </c>
      <c r="H138" s="2" t="s">
        <v>28</v>
      </c>
      <c r="I138" s="2">
        <v>2024</v>
      </c>
      <c r="J138" s="2">
        <v>17112</v>
      </c>
      <c r="K138" s="2" t="s">
        <v>22</v>
      </c>
      <c r="L138" s="2" t="s">
        <v>23</v>
      </c>
      <c r="M138" s="2" t="s">
        <v>37</v>
      </c>
      <c r="N138" s="2">
        <v>45</v>
      </c>
      <c r="O138" s="2">
        <v>7</v>
      </c>
      <c r="P138" s="2">
        <v>2520</v>
      </c>
      <c r="Q138" s="2">
        <v>378</v>
      </c>
      <c r="R138" s="2">
        <v>2142</v>
      </c>
    </row>
    <row r="139" spans="1:18">
      <c r="A139" s="2">
        <v>138</v>
      </c>
      <c r="B139" s="2" t="s">
        <v>25</v>
      </c>
      <c r="C139" s="2" t="s">
        <v>26</v>
      </c>
      <c r="D139" s="2" t="s">
        <v>20</v>
      </c>
      <c r="E139" s="2">
        <v>1</v>
      </c>
      <c r="F139" s="2">
        <v>937</v>
      </c>
      <c r="G139" s="2">
        <v>10</v>
      </c>
      <c r="H139" s="2" t="s">
        <v>35</v>
      </c>
      <c r="I139" s="2">
        <v>2025</v>
      </c>
      <c r="J139" s="2">
        <v>12101</v>
      </c>
      <c r="K139" s="2" t="s">
        <v>22</v>
      </c>
      <c r="L139" s="2" t="s">
        <v>29</v>
      </c>
      <c r="M139" s="2" t="s">
        <v>24</v>
      </c>
      <c r="N139" s="2">
        <v>15</v>
      </c>
      <c r="O139" s="2">
        <v>24</v>
      </c>
      <c r="P139" s="2">
        <v>937</v>
      </c>
      <c r="Q139" s="2">
        <v>93.7</v>
      </c>
      <c r="R139" s="2">
        <v>843.3</v>
      </c>
    </row>
    <row r="140" spans="1:18">
      <c r="A140" s="2">
        <v>139</v>
      </c>
      <c r="B140" s="2" t="s">
        <v>18</v>
      </c>
      <c r="C140" s="2" t="s">
        <v>39</v>
      </c>
      <c r="D140" s="2" t="s">
        <v>40</v>
      </c>
      <c r="E140" s="2">
        <v>1</v>
      </c>
      <c r="F140" s="2">
        <v>612</v>
      </c>
      <c r="G140" s="2">
        <v>5</v>
      </c>
      <c r="H140" s="2" t="s">
        <v>35</v>
      </c>
      <c r="I140" s="2">
        <v>2023</v>
      </c>
      <c r="J140" s="2">
        <v>12674</v>
      </c>
      <c r="K140" s="2" t="s">
        <v>22</v>
      </c>
      <c r="L140" s="2" t="s">
        <v>29</v>
      </c>
      <c r="M140" s="2" t="s">
        <v>30</v>
      </c>
      <c r="N140" s="2">
        <v>48</v>
      </c>
      <c r="O140" s="2">
        <v>45</v>
      </c>
      <c r="P140" s="2">
        <v>612</v>
      </c>
      <c r="Q140" s="2">
        <v>30.6</v>
      </c>
      <c r="R140" s="2">
        <v>581.4</v>
      </c>
    </row>
    <row r="141" spans="1:18">
      <c r="A141" s="2">
        <v>140</v>
      </c>
      <c r="B141" s="2" t="s">
        <v>18</v>
      </c>
      <c r="C141" s="2" t="s">
        <v>26</v>
      </c>
      <c r="D141" s="2" t="s">
        <v>27</v>
      </c>
      <c r="E141" s="2">
        <v>18</v>
      </c>
      <c r="F141" s="2">
        <v>744</v>
      </c>
      <c r="G141" s="2">
        <v>5</v>
      </c>
      <c r="H141" s="2" t="s">
        <v>35</v>
      </c>
      <c r="I141" s="2">
        <v>2024</v>
      </c>
      <c r="J141" s="2">
        <v>17652</v>
      </c>
      <c r="K141" s="2" t="s">
        <v>36</v>
      </c>
      <c r="L141" s="2" t="s">
        <v>23</v>
      </c>
      <c r="M141" s="2" t="s">
        <v>30</v>
      </c>
      <c r="N141" s="2">
        <v>51</v>
      </c>
      <c r="O141" s="2">
        <v>3</v>
      </c>
      <c r="P141" s="2">
        <v>13392</v>
      </c>
      <c r="Q141" s="2">
        <v>669.6</v>
      </c>
      <c r="R141" s="2">
        <v>12722.4</v>
      </c>
    </row>
    <row r="142" spans="1:18">
      <c r="A142" s="2">
        <v>141</v>
      </c>
      <c r="B142" s="2" t="s">
        <v>34</v>
      </c>
      <c r="C142" s="2" t="s">
        <v>26</v>
      </c>
      <c r="D142" s="2" t="s">
        <v>27</v>
      </c>
      <c r="E142" s="2">
        <v>15</v>
      </c>
      <c r="F142" s="2">
        <v>332</v>
      </c>
      <c r="G142" s="2">
        <v>0</v>
      </c>
      <c r="H142" s="2" t="s">
        <v>35</v>
      </c>
      <c r="I142" s="2">
        <v>2023</v>
      </c>
      <c r="J142" s="2">
        <v>11122</v>
      </c>
      <c r="K142" s="2" t="s">
        <v>36</v>
      </c>
      <c r="L142" s="2" t="s">
        <v>29</v>
      </c>
      <c r="M142" s="2" t="s">
        <v>37</v>
      </c>
      <c r="N142" s="2">
        <v>67</v>
      </c>
      <c r="O142" s="2">
        <v>32</v>
      </c>
      <c r="P142" s="2">
        <v>4980</v>
      </c>
      <c r="Q142" s="2">
        <v>0</v>
      </c>
      <c r="R142" s="2">
        <v>4980</v>
      </c>
    </row>
    <row r="143" spans="1:18">
      <c r="A143" s="2">
        <v>142</v>
      </c>
      <c r="B143" s="2" t="s">
        <v>34</v>
      </c>
      <c r="C143" s="2" t="s">
        <v>19</v>
      </c>
      <c r="D143" s="2" t="s">
        <v>42</v>
      </c>
      <c r="E143" s="2">
        <v>17</v>
      </c>
      <c r="F143" s="2">
        <v>623</v>
      </c>
      <c r="G143" s="2">
        <v>5</v>
      </c>
      <c r="H143" s="2" t="s">
        <v>32</v>
      </c>
      <c r="I143" s="2">
        <v>2024</v>
      </c>
      <c r="J143" s="2">
        <v>5481</v>
      </c>
      <c r="K143" s="2" t="s">
        <v>22</v>
      </c>
      <c r="L143" s="2" t="s">
        <v>29</v>
      </c>
      <c r="M143" s="2" t="s">
        <v>24</v>
      </c>
      <c r="N143" s="2">
        <v>21</v>
      </c>
      <c r="O143" s="2">
        <v>0</v>
      </c>
      <c r="P143" s="2">
        <v>10591</v>
      </c>
      <c r="Q143" s="2">
        <v>529.54999999999995</v>
      </c>
      <c r="R143" s="2">
        <v>10061.450000000001</v>
      </c>
    </row>
    <row r="144" spans="1:18">
      <c r="A144" s="2">
        <v>143</v>
      </c>
      <c r="B144" s="2" t="s">
        <v>38</v>
      </c>
      <c r="C144" s="2" t="s">
        <v>19</v>
      </c>
      <c r="D144" s="2" t="s">
        <v>20</v>
      </c>
      <c r="E144" s="2">
        <v>11</v>
      </c>
      <c r="F144" s="2">
        <v>445</v>
      </c>
      <c r="G144" s="2">
        <v>15</v>
      </c>
      <c r="H144" s="2" t="s">
        <v>32</v>
      </c>
      <c r="I144" s="2">
        <v>2025</v>
      </c>
      <c r="J144" s="2">
        <v>19536</v>
      </c>
      <c r="K144" s="2" t="s">
        <v>36</v>
      </c>
      <c r="L144" s="2" t="s">
        <v>29</v>
      </c>
      <c r="M144" s="2" t="s">
        <v>30</v>
      </c>
      <c r="N144" s="2">
        <v>12</v>
      </c>
      <c r="O144" s="2">
        <v>18</v>
      </c>
      <c r="P144" s="2">
        <v>4895</v>
      </c>
      <c r="Q144" s="2">
        <v>734.25</v>
      </c>
      <c r="R144" s="2">
        <v>4160.75</v>
      </c>
    </row>
    <row r="145" spans="1:18">
      <c r="A145" s="2">
        <v>144</v>
      </c>
      <c r="B145" s="2" t="s">
        <v>38</v>
      </c>
      <c r="C145" s="2" t="s">
        <v>26</v>
      </c>
      <c r="D145" s="2" t="s">
        <v>40</v>
      </c>
      <c r="E145" s="2">
        <v>17</v>
      </c>
      <c r="F145" s="2">
        <v>145</v>
      </c>
      <c r="G145" s="2">
        <v>5</v>
      </c>
      <c r="H145" s="2" t="s">
        <v>21</v>
      </c>
      <c r="I145" s="2">
        <v>2025</v>
      </c>
      <c r="J145" s="2">
        <v>5153</v>
      </c>
      <c r="K145" s="2" t="s">
        <v>22</v>
      </c>
      <c r="L145" s="2" t="s">
        <v>33</v>
      </c>
      <c r="M145" s="2" t="s">
        <v>24</v>
      </c>
      <c r="N145" s="2">
        <v>27</v>
      </c>
      <c r="O145" s="2">
        <v>30</v>
      </c>
      <c r="P145" s="2">
        <v>2465</v>
      </c>
      <c r="Q145" s="2">
        <v>123.25</v>
      </c>
      <c r="R145" s="2">
        <v>2341.75</v>
      </c>
    </row>
    <row r="146" spans="1:18">
      <c r="A146" s="2">
        <v>145</v>
      </c>
      <c r="B146" s="2" t="s">
        <v>25</v>
      </c>
      <c r="C146" s="2" t="s">
        <v>31</v>
      </c>
      <c r="D146" s="2" t="s">
        <v>27</v>
      </c>
      <c r="E146" s="2">
        <v>13</v>
      </c>
      <c r="F146" s="2">
        <v>645</v>
      </c>
      <c r="G146" s="2">
        <v>10</v>
      </c>
      <c r="H146" s="2" t="s">
        <v>41</v>
      </c>
      <c r="I146" s="2">
        <v>2024</v>
      </c>
      <c r="J146" s="2">
        <v>12617</v>
      </c>
      <c r="K146" s="2" t="s">
        <v>22</v>
      </c>
      <c r="L146" s="2" t="s">
        <v>23</v>
      </c>
      <c r="M146" s="2" t="s">
        <v>30</v>
      </c>
      <c r="N146" s="2">
        <v>49</v>
      </c>
      <c r="O146" s="2">
        <v>15</v>
      </c>
      <c r="P146" s="2">
        <v>8385</v>
      </c>
      <c r="Q146" s="2">
        <v>838.5</v>
      </c>
      <c r="R146" s="2">
        <v>7546.5</v>
      </c>
    </row>
    <row r="147" spans="1:18">
      <c r="A147" s="2">
        <v>146</v>
      </c>
      <c r="B147" s="2" t="s">
        <v>34</v>
      </c>
      <c r="C147" s="2" t="s">
        <v>19</v>
      </c>
      <c r="D147" s="2" t="s">
        <v>27</v>
      </c>
      <c r="E147" s="2">
        <v>1</v>
      </c>
      <c r="F147" s="2">
        <v>177</v>
      </c>
      <c r="G147" s="2">
        <v>5</v>
      </c>
      <c r="H147" s="2" t="s">
        <v>35</v>
      </c>
      <c r="I147" s="2">
        <v>2025</v>
      </c>
      <c r="J147" s="2">
        <v>6524</v>
      </c>
      <c r="K147" s="2" t="s">
        <v>36</v>
      </c>
      <c r="L147" s="2" t="s">
        <v>23</v>
      </c>
      <c r="M147" s="2" t="s">
        <v>24</v>
      </c>
      <c r="N147" s="2">
        <v>30</v>
      </c>
      <c r="O147" s="2">
        <v>13</v>
      </c>
      <c r="P147" s="2">
        <v>177</v>
      </c>
      <c r="Q147" s="2">
        <v>8.85</v>
      </c>
      <c r="R147" s="2">
        <v>168.15</v>
      </c>
    </row>
    <row r="148" spans="1:18">
      <c r="A148" s="2">
        <v>147</v>
      </c>
      <c r="B148" s="2" t="s">
        <v>18</v>
      </c>
      <c r="C148" s="2" t="s">
        <v>39</v>
      </c>
      <c r="D148" s="2" t="s">
        <v>40</v>
      </c>
      <c r="E148" s="2">
        <v>2</v>
      </c>
      <c r="F148" s="2">
        <v>829</v>
      </c>
      <c r="G148" s="2">
        <v>0</v>
      </c>
      <c r="H148" s="2" t="s">
        <v>21</v>
      </c>
      <c r="I148" s="2">
        <v>2024</v>
      </c>
      <c r="J148" s="2">
        <v>7120</v>
      </c>
      <c r="K148" s="2" t="s">
        <v>22</v>
      </c>
      <c r="L148" s="2" t="s">
        <v>33</v>
      </c>
      <c r="M148" s="2" t="s">
        <v>37</v>
      </c>
      <c r="N148" s="2">
        <v>24</v>
      </c>
      <c r="O148" s="2">
        <v>47</v>
      </c>
      <c r="P148" s="2">
        <v>1658</v>
      </c>
      <c r="Q148" s="2">
        <v>0</v>
      </c>
      <c r="R148" s="2">
        <v>1658</v>
      </c>
    </row>
    <row r="149" spans="1:18">
      <c r="A149" s="2">
        <v>148</v>
      </c>
      <c r="B149" s="2" t="s">
        <v>38</v>
      </c>
      <c r="C149" s="2" t="s">
        <v>19</v>
      </c>
      <c r="D149" s="2" t="s">
        <v>42</v>
      </c>
      <c r="E149" s="2">
        <v>9</v>
      </c>
      <c r="F149" s="2">
        <v>912</v>
      </c>
      <c r="G149" s="2">
        <v>5</v>
      </c>
      <c r="H149" s="2" t="s">
        <v>41</v>
      </c>
      <c r="I149" s="2">
        <v>2025</v>
      </c>
      <c r="J149" s="2">
        <v>7343</v>
      </c>
      <c r="K149" s="2" t="s">
        <v>36</v>
      </c>
      <c r="L149" s="2" t="s">
        <v>23</v>
      </c>
      <c r="M149" s="2" t="s">
        <v>30</v>
      </c>
      <c r="N149" s="2">
        <v>35</v>
      </c>
      <c r="O149" s="2">
        <v>4</v>
      </c>
      <c r="P149" s="2">
        <v>8208</v>
      </c>
      <c r="Q149" s="2">
        <v>410.4</v>
      </c>
      <c r="R149" s="2">
        <v>7797.6</v>
      </c>
    </row>
    <row r="150" spans="1:18">
      <c r="A150" s="2">
        <v>149</v>
      </c>
      <c r="B150" s="2" t="s">
        <v>38</v>
      </c>
      <c r="C150" s="2" t="s">
        <v>19</v>
      </c>
      <c r="D150" s="2" t="s">
        <v>27</v>
      </c>
      <c r="E150" s="2">
        <v>3</v>
      </c>
      <c r="F150" s="2">
        <v>172</v>
      </c>
      <c r="G150" s="2">
        <v>10</v>
      </c>
      <c r="H150" s="2" t="s">
        <v>28</v>
      </c>
      <c r="I150" s="2">
        <v>2023</v>
      </c>
      <c r="J150" s="2">
        <v>10136</v>
      </c>
      <c r="K150" s="2" t="s">
        <v>22</v>
      </c>
      <c r="L150" s="2" t="s">
        <v>29</v>
      </c>
      <c r="M150" s="2" t="s">
        <v>30</v>
      </c>
      <c r="N150" s="2">
        <v>17</v>
      </c>
      <c r="O150" s="2">
        <v>40</v>
      </c>
      <c r="P150" s="2">
        <v>516</v>
      </c>
      <c r="Q150" s="2">
        <v>51.6</v>
      </c>
      <c r="R150" s="2">
        <v>464.4</v>
      </c>
    </row>
    <row r="151" spans="1:18">
      <c r="A151" s="2">
        <v>150</v>
      </c>
      <c r="B151" s="2" t="s">
        <v>18</v>
      </c>
      <c r="C151" s="2" t="s">
        <v>39</v>
      </c>
      <c r="D151" s="2" t="s">
        <v>20</v>
      </c>
      <c r="E151" s="2">
        <v>1</v>
      </c>
      <c r="F151" s="2">
        <v>893</v>
      </c>
      <c r="G151" s="2">
        <v>10</v>
      </c>
      <c r="H151" s="2" t="s">
        <v>32</v>
      </c>
      <c r="I151" s="2">
        <v>2025</v>
      </c>
      <c r="J151" s="2">
        <v>10760</v>
      </c>
      <c r="K151" s="2" t="s">
        <v>36</v>
      </c>
      <c r="L151" s="2" t="s">
        <v>23</v>
      </c>
      <c r="M151" s="2" t="s">
        <v>24</v>
      </c>
      <c r="N151" s="2">
        <v>96</v>
      </c>
      <c r="O151" s="2">
        <v>25</v>
      </c>
      <c r="P151" s="2">
        <v>893</v>
      </c>
      <c r="Q151" s="2">
        <v>89.3</v>
      </c>
      <c r="R151" s="2">
        <v>803.7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3:C18"/>
  <sheetViews>
    <sheetView tabSelected="1" workbookViewId="0"/>
  </sheetViews>
  <sheetFormatPr baseColWidth="10" defaultRowHeight="14.25"/>
  <cols>
    <col min="3" max="3" width="25.375" customWidth="1"/>
  </cols>
  <sheetData>
    <row r="3" spans="1:3" ht="30">
      <c r="A3" s="9" t="s">
        <v>59</v>
      </c>
      <c r="B3" s="8"/>
    </row>
    <row r="6" spans="1:3" ht="18">
      <c r="A6" s="4" t="s">
        <v>56</v>
      </c>
    </row>
    <row r="7" spans="1:3">
      <c r="A7" s="3"/>
    </row>
    <row r="8" spans="1:3" ht="18">
      <c r="A8" s="7" t="s">
        <v>57</v>
      </c>
    </row>
    <row r="9" spans="1:3">
      <c r="A9" s="3"/>
    </row>
    <row r="10" spans="1:3" ht="18">
      <c r="A10" s="7" t="s">
        <v>58</v>
      </c>
    </row>
    <row r="13" spans="1:3" ht="15">
      <c r="B13" s="17" t="s">
        <v>1</v>
      </c>
      <c r="C13" s="17" t="s">
        <v>60</v>
      </c>
    </row>
    <row r="14" spans="1:3" ht="15">
      <c r="B14" s="11" t="s">
        <v>18</v>
      </c>
      <c r="C14" s="12"/>
    </row>
    <row r="15" spans="1:3" ht="15">
      <c r="B15" s="11" t="s">
        <v>25</v>
      </c>
      <c r="C15" s="12"/>
    </row>
    <row r="16" spans="1:3" ht="15">
      <c r="B16" s="11" t="s">
        <v>34</v>
      </c>
      <c r="C16" s="12"/>
    </row>
    <row r="17" spans="2:3" ht="15">
      <c r="B17" s="11" t="s">
        <v>38</v>
      </c>
      <c r="C17" s="12"/>
    </row>
    <row r="18" spans="2:3" ht="15">
      <c r="B18" s="11" t="s">
        <v>43</v>
      </c>
      <c r="C18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3:C16"/>
  <sheetViews>
    <sheetView workbookViewId="0">
      <selection activeCell="N11" sqref="N11"/>
    </sheetView>
  </sheetViews>
  <sheetFormatPr baseColWidth="10" defaultRowHeight="14.25"/>
  <cols>
    <col min="3" max="3" width="12.625" bestFit="1" customWidth="1"/>
  </cols>
  <sheetData>
    <row r="3" spans="1:3" ht="30">
      <c r="A3" s="9" t="s">
        <v>49</v>
      </c>
      <c r="B3" s="8"/>
    </row>
    <row r="5" spans="1:3" ht="17.25">
      <c r="A5" s="4" t="s">
        <v>44</v>
      </c>
    </row>
    <row r="6" spans="1:3" ht="18">
      <c r="A6" s="5" t="s">
        <v>45</v>
      </c>
    </row>
    <row r="7" spans="1:3" ht="18">
      <c r="A7" s="7" t="s">
        <v>46</v>
      </c>
    </row>
    <row r="8" spans="1:3" ht="18">
      <c r="A8" s="7" t="s">
        <v>47</v>
      </c>
    </row>
    <row r="9" spans="1:3" ht="18">
      <c r="A9" s="6" t="s">
        <v>48</v>
      </c>
    </row>
    <row r="12" spans="1:3">
      <c r="B12" s="13" t="s">
        <v>18</v>
      </c>
      <c r="C12" s="13"/>
    </row>
    <row r="13" spans="1:3" ht="15">
      <c r="B13" s="14" t="s">
        <v>25</v>
      </c>
      <c r="C13" s="15"/>
    </row>
    <row r="14" spans="1:3" ht="15">
      <c r="B14" s="14" t="s">
        <v>34</v>
      </c>
      <c r="C14" s="15"/>
    </row>
    <row r="15" spans="1:3" ht="15">
      <c r="B15" s="14" t="s">
        <v>38</v>
      </c>
      <c r="C15" s="15"/>
    </row>
    <row r="16" spans="1:3" ht="15">
      <c r="B16" s="14" t="s">
        <v>43</v>
      </c>
      <c r="C16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2:C16"/>
  <sheetViews>
    <sheetView workbookViewId="0">
      <selection activeCell="M2" sqref="M2"/>
    </sheetView>
  </sheetViews>
  <sheetFormatPr baseColWidth="10" defaultRowHeight="14.25"/>
  <cols>
    <col min="3" max="3" width="21" customWidth="1"/>
  </cols>
  <sheetData>
    <row r="2" spans="1:3" ht="30">
      <c r="A2" s="9" t="s">
        <v>187</v>
      </c>
      <c r="B2" s="8"/>
      <c r="C2" s="8"/>
    </row>
    <row r="4" spans="1:3" ht="18">
      <c r="A4" s="4" t="s">
        <v>50</v>
      </c>
    </row>
    <row r="5" spans="1:3" ht="17.25">
      <c r="A5" s="5" t="s">
        <v>51</v>
      </c>
    </row>
    <row r="6" spans="1:3" ht="17.25">
      <c r="A6" s="4" t="s">
        <v>52</v>
      </c>
    </row>
    <row r="7" spans="1:3" ht="17.25">
      <c r="A7" s="4" t="s">
        <v>53</v>
      </c>
    </row>
    <row r="8" spans="1:3" ht="17.25">
      <c r="A8" s="4" t="s">
        <v>54</v>
      </c>
    </row>
    <row r="11" spans="1:3" ht="15">
      <c r="B11" s="17" t="s">
        <v>1</v>
      </c>
      <c r="C11" s="17" t="s">
        <v>55</v>
      </c>
    </row>
    <row r="12" spans="1:3" ht="15">
      <c r="B12" s="11" t="s">
        <v>34</v>
      </c>
      <c r="C12" s="18"/>
    </row>
    <row r="13" spans="1:3" ht="15">
      <c r="B13" s="11" t="s">
        <v>43</v>
      </c>
      <c r="C13" s="18"/>
    </row>
    <row r="14" spans="1:3" ht="15">
      <c r="B14" s="11" t="s">
        <v>38</v>
      </c>
      <c r="C14" s="18"/>
    </row>
    <row r="15" spans="1:3" ht="15">
      <c r="B15" s="11" t="s">
        <v>18</v>
      </c>
      <c r="C15" s="18"/>
    </row>
    <row r="16" spans="1:3" ht="15">
      <c r="B16" s="11" t="s">
        <v>25</v>
      </c>
      <c r="C16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2:D12"/>
  <sheetViews>
    <sheetView workbookViewId="0">
      <selection activeCell="N11" sqref="N11"/>
    </sheetView>
  </sheetViews>
  <sheetFormatPr baseColWidth="10" defaultRowHeight="14.25"/>
  <sheetData>
    <row r="2" spans="1:4" ht="30">
      <c r="A2" s="9" t="s">
        <v>74</v>
      </c>
      <c r="B2" s="8"/>
      <c r="C2" s="8"/>
      <c r="D2" s="8"/>
    </row>
    <row r="9" spans="1:4" ht="30">
      <c r="B9" s="17" t="s">
        <v>1</v>
      </c>
      <c r="C9" s="17" t="s">
        <v>7</v>
      </c>
      <c r="D9" s="17" t="s">
        <v>60</v>
      </c>
    </row>
    <row r="10" spans="1:4" ht="15">
      <c r="B10" s="11" t="s">
        <v>38</v>
      </c>
      <c r="C10" s="11" t="s">
        <v>32</v>
      </c>
      <c r="D10" s="12"/>
    </row>
    <row r="11" spans="1:4" ht="15">
      <c r="B11" s="11" t="s">
        <v>25</v>
      </c>
      <c r="C11" s="11" t="s">
        <v>28</v>
      </c>
      <c r="D11" s="12"/>
    </row>
    <row r="12" spans="1:4" ht="15">
      <c r="B12" s="11" t="s">
        <v>18</v>
      </c>
      <c r="C12" s="11" t="s">
        <v>35</v>
      </c>
      <c r="D12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2:D16"/>
  <sheetViews>
    <sheetView workbookViewId="0">
      <selection activeCell="M2" sqref="M2"/>
    </sheetView>
  </sheetViews>
  <sheetFormatPr baseColWidth="10" defaultRowHeight="14.25"/>
  <cols>
    <col min="4" max="4" width="19.75" customWidth="1"/>
  </cols>
  <sheetData>
    <row r="2" spans="1:4" ht="30">
      <c r="A2" s="9" t="s">
        <v>66</v>
      </c>
      <c r="B2" s="8"/>
      <c r="C2" s="8"/>
      <c r="D2" s="8"/>
    </row>
    <row r="3" spans="1:4">
      <c r="A3" s="3"/>
    </row>
    <row r="4" spans="1:4" ht="17.25">
      <c r="A4" s="4" t="s">
        <v>61</v>
      </c>
    </row>
    <row r="5" spans="1:4">
      <c r="A5" s="3"/>
    </row>
    <row r="6" spans="1:4" ht="17.25">
      <c r="A6" s="4" t="s">
        <v>62</v>
      </c>
    </row>
    <row r="7" spans="1:4" ht="17.25">
      <c r="A7" s="19" t="s">
        <v>63</v>
      </c>
    </row>
    <row r="8" spans="1:4" ht="17.25">
      <c r="A8" s="19" t="s">
        <v>64</v>
      </c>
    </row>
    <row r="9" spans="1:4" ht="17.25">
      <c r="A9" s="19" t="s">
        <v>65</v>
      </c>
    </row>
    <row r="13" spans="1:4" ht="15">
      <c r="B13" s="17" t="s">
        <v>1</v>
      </c>
      <c r="C13" s="17" t="s">
        <v>2</v>
      </c>
      <c r="D13" s="17" t="s">
        <v>67</v>
      </c>
    </row>
    <row r="14" spans="1:4" ht="15">
      <c r="B14" s="11" t="s">
        <v>18</v>
      </c>
      <c r="C14" s="11" t="s">
        <v>19</v>
      </c>
      <c r="D14" s="15"/>
    </row>
    <row r="15" spans="1:4" ht="15">
      <c r="B15" s="11" t="s">
        <v>25</v>
      </c>
      <c r="C15" s="11" t="s">
        <v>26</v>
      </c>
      <c r="D15" s="15"/>
    </row>
    <row r="16" spans="1:4" ht="15">
      <c r="B16" s="11" t="s">
        <v>34</v>
      </c>
      <c r="C16" s="11" t="s">
        <v>31</v>
      </c>
      <c r="D16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2:E16"/>
  <sheetViews>
    <sheetView workbookViewId="0">
      <selection activeCell="M17" sqref="M17"/>
    </sheetView>
  </sheetViews>
  <sheetFormatPr baseColWidth="10" defaultRowHeight="14.25"/>
  <cols>
    <col min="3" max="3" width="18" customWidth="1"/>
  </cols>
  <sheetData>
    <row r="2" spans="1:5" ht="30">
      <c r="A2" s="9" t="s">
        <v>72</v>
      </c>
      <c r="B2" s="8"/>
      <c r="C2" s="8"/>
      <c r="D2" s="8"/>
      <c r="E2" s="8"/>
    </row>
    <row r="4" spans="1:5" ht="17.25">
      <c r="B4" s="4" t="s">
        <v>68</v>
      </c>
    </row>
    <row r="5" spans="1:5" ht="17.25">
      <c r="B5" s="4" t="s">
        <v>62</v>
      </c>
    </row>
    <row r="6" spans="1:5" ht="18">
      <c r="B6" s="20" t="s">
        <v>69</v>
      </c>
    </row>
    <row r="7" spans="1:5" ht="18">
      <c r="B7" s="20" t="s">
        <v>70</v>
      </c>
    </row>
    <row r="8" spans="1:5" ht="18">
      <c r="B8" s="20" t="s">
        <v>71</v>
      </c>
    </row>
    <row r="13" spans="1:5" ht="15">
      <c r="A13" s="17" t="s">
        <v>1</v>
      </c>
      <c r="B13" s="17" t="s">
        <v>7</v>
      </c>
      <c r="C13" s="17" t="s">
        <v>73</v>
      </c>
    </row>
    <row r="14" spans="1:5" ht="15">
      <c r="A14" s="11" t="s">
        <v>25</v>
      </c>
      <c r="B14" s="11" t="s">
        <v>28</v>
      </c>
      <c r="C14" s="15"/>
    </row>
    <row r="15" spans="1:5" ht="15">
      <c r="A15" s="11" t="s">
        <v>18</v>
      </c>
      <c r="B15" s="11" t="s">
        <v>21</v>
      </c>
      <c r="C15" s="15"/>
    </row>
    <row r="16" spans="1:5" ht="15">
      <c r="A16" s="11" t="s">
        <v>34</v>
      </c>
      <c r="B16" s="11" t="s">
        <v>35</v>
      </c>
      <c r="C16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1"/>
  <sheetViews>
    <sheetView topLeftCell="A7" workbookViewId="0">
      <selection activeCell="H50" sqref="H50"/>
    </sheetView>
  </sheetViews>
  <sheetFormatPr baseColWidth="10" defaultRowHeight="14.25"/>
  <cols>
    <col min="1" max="1" width="12.5" bestFit="1" customWidth="1"/>
    <col min="2" max="2" width="22.5" bestFit="1" customWidth="1"/>
  </cols>
  <sheetData>
    <row r="1" spans="1:34" ht="15">
      <c r="C1" s="22">
        <v>45839</v>
      </c>
      <c r="D1" s="22">
        <v>45840</v>
      </c>
      <c r="E1" s="22">
        <v>45841</v>
      </c>
      <c r="F1" s="22">
        <v>45842</v>
      </c>
      <c r="G1" s="22">
        <v>45843</v>
      </c>
      <c r="H1" s="22">
        <v>45844</v>
      </c>
      <c r="I1" s="22">
        <v>45845</v>
      </c>
      <c r="J1" s="22">
        <v>45846</v>
      </c>
      <c r="K1" s="22">
        <v>45847</v>
      </c>
      <c r="L1" s="22">
        <v>45848</v>
      </c>
      <c r="M1" s="22">
        <v>45849</v>
      </c>
      <c r="N1" s="22">
        <v>45850</v>
      </c>
      <c r="O1" s="22">
        <v>45851</v>
      </c>
      <c r="P1" s="22">
        <v>45852</v>
      </c>
      <c r="Q1" s="22">
        <v>45853</v>
      </c>
      <c r="R1" s="22">
        <v>45854</v>
      </c>
      <c r="S1" s="22">
        <v>45855</v>
      </c>
      <c r="T1" s="22">
        <v>45856</v>
      </c>
      <c r="U1" s="22">
        <v>45857</v>
      </c>
      <c r="V1" s="22">
        <v>45858</v>
      </c>
      <c r="W1" s="22">
        <v>45859</v>
      </c>
      <c r="X1" s="22">
        <v>45860</v>
      </c>
      <c r="Y1" s="22">
        <v>45861</v>
      </c>
      <c r="Z1" s="22">
        <v>45862</v>
      </c>
      <c r="AA1" s="22">
        <v>45863</v>
      </c>
      <c r="AB1" s="22">
        <v>45864</v>
      </c>
      <c r="AC1" s="22">
        <v>45865</v>
      </c>
      <c r="AD1" s="22">
        <v>45866</v>
      </c>
      <c r="AE1" s="22">
        <v>45867</v>
      </c>
      <c r="AF1" s="22">
        <v>45868</v>
      </c>
      <c r="AG1" s="22">
        <v>45869</v>
      </c>
      <c r="AH1" s="22" t="s">
        <v>86</v>
      </c>
    </row>
    <row r="2" spans="1:34">
      <c r="A2" s="31" t="s">
        <v>87</v>
      </c>
      <c r="B2" s="23" t="s">
        <v>88</v>
      </c>
      <c r="C2" s="24">
        <v>5</v>
      </c>
      <c r="D2" s="24">
        <v>5</v>
      </c>
      <c r="E2" s="24">
        <v>5</v>
      </c>
      <c r="F2" s="24">
        <v>5</v>
      </c>
      <c r="G2" s="24">
        <v>6.5</v>
      </c>
      <c r="H2" s="24">
        <v>0</v>
      </c>
      <c r="I2" s="24">
        <v>5</v>
      </c>
      <c r="J2" s="24">
        <v>5</v>
      </c>
      <c r="K2" s="24">
        <v>6.5</v>
      </c>
      <c r="L2" s="24">
        <v>7</v>
      </c>
      <c r="M2" s="24">
        <v>7</v>
      </c>
      <c r="N2" s="24">
        <v>6.5</v>
      </c>
      <c r="O2" s="24">
        <v>0</v>
      </c>
      <c r="P2" s="24">
        <v>5</v>
      </c>
      <c r="Q2" s="24">
        <v>5</v>
      </c>
      <c r="R2" s="24">
        <v>5</v>
      </c>
      <c r="S2" s="24">
        <v>5</v>
      </c>
      <c r="T2" s="24">
        <v>5</v>
      </c>
      <c r="U2" s="24">
        <v>6.5</v>
      </c>
      <c r="V2" s="24">
        <v>0</v>
      </c>
      <c r="W2" s="24">
        <v>4</v>
      </c>
      <c r="X2" s="24">
        <v>5</v>
      </c>
      <c r="Y2" s="24">
        <v>4</v>
      </c>
      <c r="Z2" s="24">
        <v>0.5</v>
      </c>
      <c r="AA2" s="24">
        <v>2.5</v>
      </c>
      <c r="AB2" s="24">
        <v>0</v>
      </c>
      <c r="AC2" s="24">
        <v>0</v>
      </c>
      <c r="AD2" s="24">
        <v>0.5</v>
      </c>
      <c r="AE2" s="24">
        <v>1.5</v>
      </c>
      <c r="AF2" s="24">
        <v>0</v>
      </c>
      <c r="AG2" s="24">
        <v>0</v>
      </c>
      <c r="AH2" s="24">
        <v>3.6451612903225805</v>
      </c>
    </row>
    <row r="3" spans="1:34">
      <c r="A3" s="31"/>
      <c r="B3" s="23" t="s">
        <v>89</v>
      </c>
      <c r="C3" s="24">
        <v>0.7</v>
      </c>
      <c r="D3" s="24">
        <v>0.7</v>
      </c>
      <c r="E3" s="24">
        <v>0.7</v>
      </c>
      <c r="F3" s="24">
        <v>0.7</v>
      </c>
      <c r="G3" s="24">
        <v>0.7</v>
      </c>
      <c r="H3" s="24">
        <v>0.7</v>
      </c>
      <c r="I3" s="24">
        <v>0.7</v>
      </c>
      <c r="J3" s="24">
        <v>0.7</v>
      </c>
      <c r="K3" s="24">
        <v>0.7</v>
      </c>
      <c r="L3" s="24">
        <v>0.7</v>
      </c>
      <c r="M3" s="24">
        <v>0.7</v>
      </c>
      <c r="N3" s="24">
        <v>0.7</v>
      </c>
      <c r="O3" s="24">
        <v>0.7</v>
      </c>
      <c r="P3" s="24">
        <v>0.7</v>
      </c>
      <c r="Q3" s="24">
        <v>0.7</v>
      </c>
      <c r="R3" s="24">
        <v>0.7</v>
      </c>
      <c r="S3" s="24">
        <v>0.7</v>
      </c>
      <c r="T3" s="24">
        <v>0.7</v>
      </c>
      <c r="U3" s="24">
        <v>0.7</v>
      </c>
      <c r="V3" s="24">
        <v>0.7</v>
      </c>
      <c r="W3" s="24">
        <v>0.7</v>
      </c>
      <c r="X3" s="24">
        <v>0.7</v>
      </c>
      <c r="Y3" s="24">
        <v>0.7</v>
      </c>
      <c r="Z3" s="24">
        <v>0.7</v>
      </c>
      <c r="AA3" s="24">
        <v>0.7</v>
      </c>
      <c r="AB3" s="24">
        <v>0.7</v>
      </c>
      <c r="AC3" s="24">
        <v>0.7</v>
      </c>
      <c r="AD3" s="24">
        <v>0.7</v>
      </c>
      <c r="AE3" s="24">
        <v>0.7</v>
      </c>
      <c r="AF3" s="24">
        <v>0.7</v>
      </c>
      <c r="AG3" s="24">
        <v>0.7</v>
      </c>
      <c r="AH3" s="24">
        <v>0.69999999999999962</v>
      </c>
    </row>
    <row r="4" spans="1:34">
      <c r="A4" s="31"/>
      <c r="B4" s="23" t="s">
        <v>90</v>
      </c>
      <c r="C4" s="24">
        <v>3.5</v>
      </c>
      <c r="D4" s="24">
        <v>3.5</v>
      </c>
      <c r="E4" s="24">
        <v>3.5</v>
      </c>
      <c r="F4" s="24">
        <v>3.5</v>
      </c>
      <c r="G4" s="24">
        <v>4.55</v>
      </c>
      <c r="H4" s="24">
        <v>0</v>
      </c>
      <c r="I4" s="24">
        <v>3.5</v>
      </c>
      <c r="J4" s="24">
        <v>3.5</v>
      </c>
      <c r="K4" s="24">
        <v>4.55</v>
      </c>
      <c r="L4" s="24">
        <v>4.8999999999999995</v>
      </c>
      <c r="M4" s="24">
        <v>4.8999999999999995</v>
      </c>
      <c r="N4" s="24">
        <v>4.55</v>
      </c>
      <c r="O4" s="24">
        <v>0</v>
      </c>
      <c r="P4" s="24">
        <v>3.5</v>
      </c>
      <c r="Q4" s="24">
        <v>3.5</v>
      </c>
      <c r="R4" s="24">
        <v>3.5</v>
      </c>
      <c r="S4" s="24">
        <v>3.5</v>
      </c>
      <c r="T4" s="24">
        <v>3.5</v>
      </c>
      <c r="U4" s="24">
        <v>4.55</v>
      </c>
      <c r="V4" s="24">
        <v>0</v>
      </c>
      <c r="W4" s="24">
        <v>2.8</v>
      </c>
      <c r="X4" s="24">
        <v>3.5</v>
      </c>
      <c r="Y4" s="24">
        <v>2.8</v>
      </c>
      <c r="Z4" s="24">
        <v>0.35</v>
      </c>
      <c r="AA4" s="24">
        <v>1.75</v>
      </c>
      <c r="AB4" s="24">
        <v>0</v>
      </c>
      <c r="AC4" s="24">
        <v>0</v>
      </c>
      <c r="AD4" s="24">
        <v>0.35</v>
      </c>
      <c r="AE4" s="24">
        <v>1.0499999999999998</v>
      </c>
      <c r="AF4" s="24">
        <v>0</v>
      </c>
      <c r="AG4" s="24">
        <v>0</v>
      </c>
      <c r="AH4" s="24">
        <v>2.5516129032258057</v>
      </c>
    </row>
    <row r="5" spans="1:34">
      <c r="A5" s="31"/>
      <c r="B5" s="23" t="s">
        <v>91</v>
      </c>
      <c r="C5" s="24">
        <v>2.1166666666666667</v>
      </c>
      <c r="D5" s="24">
        <v>1.4666666666666668</v>
      </c>
      <c r="E5" s="24">
        <v>1.1166666666666667</v>
      </c>
      <c r="F5" s="24">
        <v>1.9666666666666666</v>
      </c>
      <c r="G5" s="24">
        <v>0.18333333333333332</v>
      </c>
      <c r="H5" s="24">
        <v>0</v>
      </c>
      <c r="I5" s="24">
        <v>1.4666666666666668</v>
      </c>
      <c r="J5" s="24">
        <v>2.1</v>
      </c>
      <c r="K5" s="24">
        <v>0.48333333333333334</v>
      </c>
      <c r="L5" s="24">
        <v>0.9</v>
      </c>
      <c r="M5" s="24">
        <v>1.5833333333333335</v>
      </c>
      <c r="N5" s="24">
        <v>1.6666666666666666E-2</v>
      </c>
      <c r="O5" s="24">
        <v>0</v>
      </c>
      <c r="P5" s="24">
        <v>1.7833333333333334</v>
      </c>
      <c r="Q5" s="24">
        <v>1.2333333333333334</v>
      </c>
      <c r="R5" s="24">
        <v>3.4666666666666663</v>
      </c>
      <c r="S5" s="24">
        <v>3.916666666666667</v>
      </c>
      <c r="T5" s="24">
        <v>1.5833333333333333</v>
      </c>
      <c r="U5" s="24">
        <v>0.25</v>
      </c>
      <c r="V5" s="24">
        <v>0</v>
      </c>
      <c r="W5" s="24">
        <v>3.3</v>
      </c>
      <c r="X5" s="24">
        <v>5.6999999999999993</v>
      </c>
      <c r="Y5" s="24">
        <v>3.8333333333333335</v>
      </c>
      <c r="Z5" s="24">
        <v>0.5</v>
      </c>
      <c r="AA5" s="24">
        <v>2.666666666666667</v>
      </c>
      <c r="AB5" s="24">
        <v>3.3333333333333333E-2</v>
      </c>
      <c r="AC5" s="24">
        <v>0</v>
      </c>
      <c r="AD5" s="24">
        <v>0.36666666666666664</v>
      </c>
      <c r="AE5" s="24">
        <v>2.5666666666666669</v>
      </c>
      <c r="AF5" s="24">
        <v>3.5833333333333335</v>
      </c>
      <c r="AG5" s="24">
        <v>3.3333333333333335</v>
      </c>
      <c r="AH5" s="24">
        <v>1.6618279569892476</v>
      </c>
    </row>
    <row r="6" spans="1:34">
      <c r="A6" s="31"/>
      <c r="B6" s="23" t="s">
        <v>92</v>
      </c>
      <c r="C6" s="24">
        <v>1.3833333333333333</v>
      </c>
      <c r="D6" s="24">
        <v>2.0333333333333332</v>
      </c>
      <c r="E6" s="24">
        <v>2.3833333333333333</v>
      </c>
      <c r="F6" s="24">
        <v>1.5333333333333334</v>
      </c>
      <c r="G6" s="24">
        <v>4.3666666666666663</v>
      </c>
      <c r="H6" s="24">
        <v>0</v>
      </c>
      <c r="I6" s="24">
        <v>2.0333333333333332</v>
      </c>
      <c r="J6" s="24">
        <v>1.4</v>
      </c>
      <c r="K6" s="24">
        <v>4.0666666666666664</v>
      </c>
      <c r="L6" s="24">
        <v>3.9999999999999996</v>
      </c>
      <c r="M6" s="24">
        <v>3.316666666666666</v>
      </c>
      <c r="N6" s="24">
        <v>4.5333333333333332</v>
      </c>
      <c r="O6" s="24">
        <v>0</v>
      </c>
      <c r="P6" s="24">
        <v>1.7166666666666666</v>
      </c>
      <c r="Q6" s="24">
        <v>2.2666666666666666</v>
      </c>
      <c r="R6" s="24">
        <v>3.3333333333333659E-2</v>
      </c>
      <c r="S6" s="24">
        <v>-0.41666666666666696</v>
      </c>
      <c r="T6" s="24">
        <v>1.9166666666666667</v>
      </c>
      <c r="U6" s="24">
        <v>4.3</v>
      </c>
      <c r="V6" s="24">
        <v>0</v>
      </c>
      <c r="W6" s="24">
        <v>-0.5</v>
      </c>
      <c r="X6" s="24">
        <v>-2.1999999999999993</v>
      </c>
      <c r="Y6" s="24">
        <v>-1.0333333333333337</v>
      </c>
      <c r="Z6" s="24">
        <v>-0.15000000000000002</v>
      </c>
      <c r="AA6" s="24">
        <v>-0.91666666666666696</v>
      </c>
      <c r="AB6" s="24">
        <v>-3.3333333333333333E-2</v>
      </c>
      <c r="AC6" s="24">
        <v>0</v>
      </c>
      <c r="AD6" s="24">
        <v>-1.6666666666666663E-2</v>
      </c>
      <c r="AE6" s="24">
        <v>-1.5166666666666671</v>
      </c>
      <c r="AF6" s="24">
        <v>-3.5833333333333335</v>
      </c>
      <c r="AG6" s="24">
        <v>-3.3333333333333335</v>
      </c>
      <c r="AH6" s="24">
        <v>0.88978494623655924</v>
      </c>
    </row>
    <row r="7" spans="1:34">
      <c r="A7" s="31"/>
      <c r="B7" s="25" t="s">
        <v>93</v>
      </c>
      <c r="C7" s="26">
        <v>0.60476190476190472</v>
      </c>
      <c r="D7" s="26">
        <v>0.41904761904761906</v>
      </c>
      <c r="E7" s="26">
        <v>0.31904761904761908</v>
      </c>
      <c r="F7" s="26">
        <v>0.56190476190476191</v>
      </c>
      <c r="G7" s="26">
        <v>4.0293040293040289E-2</v>
      </c>
      <c r="H7" s="26">
        <v>0</v>
      </c>
      <c r="I7" s="26">
        <v>0.41904761904761906</v>
      </c>
      <c r="J7" s="26">
        <v>0.6</v>
      </c>
      <c r="K7" s="26">
        <v>0.10622710622710624</v>
      </c>
      <c r="L7" s="26">
        <v>0.18367346938775514</v>
      </c>
      <c r="M7" s="26">
        <v>0.32312925170068035</v>
      </c>
      <c r="N7" s="26">
        <v>3.663003663003663E-3</v>
      </c>
      <c r="O7" s="26">
        <v>0</v>
      </c>
      <c r="P7" s="26">
        <v>0.5095238095238096</v>
      </c>
      <c r="Q7" s="26">
        <v>0.35238095238095241</v>
      </c>
      <c r="R7" s="26">
        <v>0.9904761904761904</v>
      </c>
      <c r="S7" s="26">
        <v>1</v>
      </c>
      <c r="T7" s="26">
        <v>0.45238095238095238</v>
      </c>
      <c r="U7" s="26">
        <v>5.4945054945054944E-2</v>
      </c>
      <c r="V7" s="26">
        <v>0</v>
      </c>
      <c r="W7" s="26">
        <v>1</v>
      </c>
      <c r="X7" s="26">
        <v>1</v>
      </c>
      <c r="Y7" s="26">
        <v>1</v>
      </c>
      <c r="Z7" s="26">
        <v>1</v>
      </c>
      <c r="AA7" s="26">
        <v>1</v>
      </c>
      <c r="AB7" s="26">
        <v>0</v>
      </c>
      <c r="AC7" s="26">
        <v>0</v>
      </c>
      <c r="AD7" s="26">
        <v>1</v>
      </c>
      <c r="AE7" s="26">
        <v>1</v>
      </c>
      <c r="AF7" s="26">
        <v>0</v>
      </c>
      <c r="AG7" s="26">
        <v>0</v>
      </c>
      <c r="AH7" s="26">
        <v>0.65128529287821357</v>
      </c>
    </row>
    <row r="8" spans="1:34">
      <c r="A8" s="31" t="s">
        <v>94</v>
      </c>
      <c r="B8" s="23" t="s">
        <v>88</v>
      </c>
      <c r="C8" s="24">
        <v>9</v>
      </c>
      <c r="D8" s="24">
        <v>3</v>
      </c>
      <c r="E8" s="24">
        <v>0</v>
      </c>
      <c r="F8" s="24">
        <v>0</v>
      </c>
      <c r="G8" s="24">
        <v>3</v>
      </c>
      <c r="H8" s="24">
        <v>7</v>
      </c>
      <c r="I8" s="24">
        <v>7</v>
      </c>
      <c r="J8" s="24">
        <v>7</v>
      </c>
      <c r="K8" s="24">
        <v>3</v>
      </c>
      <c r="L8" s="24">
        <v>0</v>
      </c>
      <c r="M8" s="24">
        <v>0</v>
      </c>
      <c r="N8" s="24">
        <v>3</v>
      </c>
      <c r="O8" s="24">
        <v>7</v>
      </c>
      <c r="P8" s="24">
        <v>7</v>
      </c>
      <c r="Q8" s="24">
        <v>7</v>
      </c>
      <c r="R8" s="24">
        <v>4</v>
      </c>
      <c r="S8" s="24">
        <v>0</v>
      </c>
      <c r="T8" s="24">
        <v>0</v>
      </c>
      <c r="U8" s="24">
        <v>3</v>
      </c>
      <c r="V8" s="24">
        <v>7</v>
      </c>
      <c r="W8" s="24">
        <v>6.5</v>
      </c>
      <c r="X8" s="24">
        <v>7</v>
      </c>
      <c r="Y8" s="24">
        <v>4</v>
      </c>
      <c r="Z8" s="24">
        <v>0</v>
      </c>
      <c r="AA8" s="24">
        <v>0</v>
      </c>
      <c r="AB8" s="24">
        <v>3</v>
      </c>
      <c r="AC8" s="24">
        <v>7</v>
      </c>
      <c r="AD8" s="24">
        <v>6.5</v>
      </c>
      <c r="AE8" s="24">
        <v>6.83</v>
      </c>
      <c r="AF8" s="24">
        <v>0</v>
      </c>
      <c r="AG8" s="24">
        <v>0</v>
      </c>
      <c r="AH8" s="24">
        <v>3.8009677419354837</v>
      </c>
    </row>
    <row r="9" spans="1:34">
      <c r="A9" s="31"/>
      <c r="B9" s="23" t="s">
        <v>89</v>
      </c>
      <c r="C9" s="24">
        <v>0.7</v>
      </c>
      <c r="D9" s="24">
        <v>0.7</v>
      </c>
      <c r="E9" s="24">
        <v>0.7</v>
      </c>
      <c r="F9" s="24">
        <v>0.7</v>
      </c>
      <c r="G9" s="24">
        <v>0.7</v>
      </c>
      <c r="H9" s="24">
        <v>0.7</v>
      </c>
      <c r="I9" s="24">
        <v>0.7</v>
      </c>
      <c r="J9" s="24">
        <v>0.7</v>
      </c>
      <c r="K9" s="24">
        <v>0.7</v>
      </c>
      <c r="L9" s="24">
        <v>0.7</v>
      </c>
      <c r="M9" s="24">
        <v>0.7</v>
      </c>
      <c r="N9" s="24">
        <v>0.7</v>
      </c>
      <c r="O9" s="24">
        <v>0.7</v>
      </c>
      <c r="P9" s="24">
        <v>0.7</v>
      </c>
      <c r="Q9" s="24">
        <v>0.7</v>
      </c>
      <c r="R9" s="24">
        <v>0.7</v>
      </c>
      <c r="S9" s="24">
        <v>0.7</v>
      </c>
      <c r="T9" s="24">
        <v>0.7</v>
      </c>
      <c r="U9" s="24">
        <v>0.7</v>
      </c>
      <c r="V9" s="24">
        <v>0.7</v>
      </c>
      <c r="W9" s="24">
        <v>0.7</v>
      </c>
      <c r="X9" s="24">
        <v>0.7</v>
      </c>
      <c r="Y9" s="24">
        <v>0.7</v>
      </c>
      <c r="Z9" s="24">
        <v>0.7</v>
      </c>
      <c r="AA9" s="24">
        <v>0.7</v>
      </c>
      <c r="AB9" s="24">
        <v>0.7</v>
      </c>
      <c r="AC9" s="24">
        <v>0.7</v>
      </c>
      <c r="AD9" s="24">
        <v>0.7</v>
      </c>
      <c r="AE9" s="24">
        <v>0.7</v>
      </c>
      <c r="AF9" s="24">
        <v>0.7</v>
      </c>
      <c r="AG9" s="24">
        <v>0.7</v>
      </c>
      <c r="AH9" s="24">
        <v>0.69999999999999962</v>
      </c>
    </row>
    <row r="10" spans="1:34">
      <c r="A10" s="31"/>
      <c r="B10" s="23" t="s">
        <v>90</v>
      </c>
      <c r="C10" s="24">
        <v>6.3</v>
      </c>
      <c r="D10" s="24">
        <v>2.0999999999999996</v>
      </c>
      <c r="E10" s="24">
        <v>0</v>
      </c>
      <c r="F10" s="24">
        <v>0</v>
      </c>
      <c r="G10" s="24">
        <v>2.0999999999999996</v>
      </c>
      <c r="H10" s="24">
        <v>4.8999999999999995</v>
      </c>
      <c r="I10" s="24">
        <v>4.8999999999999995</v>
      </c>
      <c r="J10" s="24">
        <v>4.8999999999999995</v>
      </c>
      <c r="K10" s="24">
        <v>2.0999999999999996</v>
      </c>
      <c r="L10" s="24">
        <v>0</v>
      </c>
      <c r="M10" s="24">
        <v>0</v>
      </c>
      <c r="N10" s="24">
        <v>2.0999999999999996</v>
      </c>
      <c r="O10" s="24">
        <v>4.8999999999999995</v>
      </c>
      <c r="P10" s="24">
        <v>4.8999999999999995</v>
      </c>
      <c r="Q10" s="24">
        <v>4.8999999999999995</v>
      </c>
      <c r="R10" s="24">
        <v>2.8</v>
      </c>
      <c r="S10" s="24">
        <v>0</v>
      </c>
      <c r="T10" s="24">
        <v>0</v>
      </c>
      <c r="U10" s="24">
        <v>2.0999999999999996</v>
      </c>
      <c r="V10" s="24">
        <v>4.8999999999999995</v>
      </c>
      <c r="W10" s="24">
        <v>4.55</v>
      </c>
      <c r="X10" s="24">
        <v>4.8999999999999995</v>
      </c>
      <c r="Y10" s="24">
        <v>2.8</v>
      </c>
      <c r="Z10" s="24">
        <v>0</v>
      </c>
      <c r="AA10" s="24">
        <v>0</v>
      </c>
      <c r="AB10" s="24">
        <v>2.0999999999999996</v>
      </c>
      <c r="AC10" s="24">
        <v>4.8999999999999995</v>
      </c>
      <c r="AD10" s="24">
        <v>4.55</v>
      </c>
      <c r="AE10" s="24">
        <v>4.7809999999999997</v>
      </c>
      <c r="AF10" s="24">
        <v>0</v>
      </c>
      <c r="AG10" s="24">
        <v>0</v>
      </c>
      <c r="AH10" s="24">
        <v>2.6606774193548386</v>
      </c>
    </row>
    <row r="11" spans="1:34">
      <c r="A11" s="31"/>
      <c r="B11" s="23" t="s">
        <v>91</v>
      </c>
      <c r="C11" s="24">
        <v>6.0666666666666664</v>
      </c>
      <c r="D11" s="24">
        <v>4.9666666666666668</v>
      </c>
      <c r="E11" s="24">
        <v>3.3333333333333333E-2</v>
      </c>
      <c r="F11" s="24">
        <v>0</v>
      </c>
      <c r="G11" s="24">
        <v>6.833333333333333</v>
      </c>
      <c r="H11" s="24">
        <v>5.0999999999999996</v>
      </c>
      <c r="I11" s="24">
        <v>4.0999999999999996</v>
      </c>
      <c r="J11" s="24">
        <v>4.5333333333333332</v>
      </c>
      <c r="K11" s="24">
        <v>3.65</v>
      </c>
      <c r="L11" s="24">
        <v>1.6666666666666666E-2</v>
      </c>
      <c r="M11" s="24">
        <v>0</v>
      </c>
      <c r="N11" s="24">
        <v>0.2</v>
      </c>
      <c r="O11" s="24">
        <v>2.333333333333333</v>
      </c>
      <c r="P11" s="24">
        <v>3.5333333333333332</v>
      </c>
      <c r="Q11" s="24">
        <v>7.3166666666666673</v>
      </c>
      <c r="R11" s="24">
        <v>4.0166666666666666</v>
      </c>
      <c r="S11" s="24">
        <v>0</v>
      </c>
      <c r="T11" s="24">
        <v>0</v>
      </c>
      <c r="U11" s="24">
        <v>5.1666666666666661</v>
      </c>
      <c r="V11" s="24">
        <v>4.1833333333333327</v>
      </c>
      <c r="W11" s="24">
        <v>0.28333333333333333</v>
      </c>
      <c r="X11" s="24">
        <v>3.2833333333333332</v>
      </c>
      <c r="Y11" s="24">
        <v>1.3166666666666667</v>
      </c>
      <c r="Z11" s="24">
        <v>0</v>
      </c>
      <c r="AA11" s="24">
        <v>0</v>
      </c>
      <c r="AB11" s="24">
        <v>3.3333333333333333E-2</v>
      </c>
      <c r="AC11" s="24">
        <v>4</v>
      </c>
      <c r="AD11" s="24">
        <v>2.2166666666666668</v>
      </c>
      <c r="AE11" s="24">
        <v>5.9333333333333336</v>
      </c>
      <c r="AF11" s="24">
        <v>4.5</v>
      </c>
      <c r="AG11" s="24">
        <v>0</v>
      </c>
      <c r="AH11" s="24">
        <v>2.6973118279569892</v>
      </c>
    </row>
    <row r="12" spans="1:34">
      <c r="A12" s="31"/>
      <c r="B12" s="23" t="s">
        <v>92</v>
      </c>
      <c r="C12" s="24">
        <v>0.23333333333333339</v>
      </c>
      <c r="D12" s="24">
        <v>-2.8666666666666671</v>
      </c>
      <c r="E12" s="24">
        <v>-3.3333333333333333E-2</v>
      </c>
      <c r="F12" s="24">
        <v>0</v>
      </c>
      <c r="G12" s="24">
        <v>-4.7333333333333334</v>
      </c>
      <c r="H12" s="24">
        <v>-0.20000000000000018</v>
      </c>
      <c r="I12" s="24">
        <v>0.79999999999999982</v>
      </c>
      <c r="J12" s="24">
        <v>0.36666666666666625</v>
      </c>
      <c r="K12" s="24">
        <v>-1.5500000000000003</v>
      </c>
      <c r="L12" s="24">
        <v>-1.6666666666666666E-2</v>
      </c>
      <c r="M12" s="24">
        <v>0</v>
      </c>
      <c r="N12" s="24">
        <v>1.8999999999999997</v>
      </c>
      <c r="O12" s="24">
        <v>2.5666666666666664</v>
      </c>
      <c r="P12" s="24">
        <v>1.3666666666666663</v>
      </c>
      <c r="Q12" s="24">
        <v>-2.4166666666666679</v>
      </c>
      <c r="R12" s="24">
        <v>-1.2166666666666668</v>
      </c>
      <c r="S12" s="24">
        <v>0</v>
      </c>
      <c r="T12" s="24">
        <v>0</v>
      </c>
      <c r="U12" s="24">
        <v>-3.0666666666666664</v>
      </c>
      <c r="V12" s="24">
        <v>0.71666666666666679</v>
      </c>
      <c r="W12" s="24">
        <v>4.2666666666666666</v>
      </c>
      <c r="X12" s="24">
        <v>1.6166666666666663</v>
      </c>
      <c r="Y12" s="24">
        <v>1.4833333333333332</v>
      </c>
      <c r="Z12" s="24">
        <v>0</v>
      </c>
      <c r="AA12" s="24">
        <v>0</v>
      </c>
      <c r="AB12" s="24">
        <v>2.0666666666666664</v>
      </c>
      <c r="AC12" s="24">
        <v>0.89999999999999947</v>
      </c>
      <c r="AD12" s="24">
        <v>2.333333333333333</v>
      </c>
      <c r="AE12" s="24">
        <v>-1.1523333333333339</v>
      </c>
      <c r="AF12" s="24">
        <v>-4.5</v>
      </c>
      <c r="AG12" s="24">
        <v>0</v>
      </c>
      <c r="AH12" s="24">
        <v>-3.6634408602150732E-2</v>
      </c>
    </row>
    <row r="13" spans="1:34">
      <c r="A13" s="31"/>
      <c r="B13" s="25" t="s">
        <v>93</v>
      </c>
      <c r="C13" s="26">
        <v>0.96296296296296291</v>
      </c>
      <c r="D13" s="26">
        <v>1</v>
      </c>
      <c r="E13" s="26">
        <v>0</v>
      </c>
      <c r="F13" s="26">
        <v>0</v>
      </c>
      <c r="G13" s="26">
        <v>1</v>
      </c>
      <c r="H13" s="26">
        <v>1</v>
      </c>
      <c r="I13" s="26">
        <v>0.83673469387755106</v>
      </c>
      <c r="J13" s="26">
        <v>0.92517006802721091</v>
      </c>
      <c r="K13" s="26">
        <v>1</v>
      </c>
      <c r="L13" s="26">
        <v>0</v>
      </c>
      <c r="M13" s="26">
        <v>0</v>
      </c>
      <c r="N13" s="26">
        <v>9.5238095238095261E-2</v>
      </c>
      <c r="O13" s="26">
        <v>0.47619047619047616</v>
      </c>
      <c r="P13" s="26">
        <v>0.72108843537414968</v>
      </c>
      <c r="Q13" s="26">
        <v>1</v>
      </c>
      <c r="R13" s="26">
        <v>1</v>
      </c>
      <c r="S13" s="26">
        <v>0</v>
      </c>
      <c r="T13" s="26">
        <v>0</v>
      </c>
      <c r="U13" s="26">
        <v>1</v>
      </c>
      <c r="V13" s="26">
        <v>0.8537414965986394</v>
      </c>
      <c r="W13" s="26">
        <v>6.2271062271062272E-2</v>
      </c>
      <c r="X13" s="26">
        <v>0.67006802721088443</v>
      </c>
      <c r="Y13" s="26">
        <v>0.47023809523809529</v>
      </c>
      <c r="Z13" s="26">
        <v>0</v>
      </c>
      <c r="AA13" s="26">
        <v>0</v>
      </c>
      <c r="AB13" s="26">
        <v>1.5873015873015876E-2</v>
      </c>
      <c r="AC13" s="26">
        <v>0.81632653061224503</v>
      </c>
      <c r="AD13" s="26">
        <v>0.48717948717948723</v>
      </c>
      <c r="AE13" s="26">
        <v>1</v>
      </c>
      <c r="AF13" s="26">
        <v>0</v>
      </c>
      <c r="AG13" s="26">
        <v>0</v>
      </c>
      <c r="AH13" s="26">
        <v>1</v>
      </c>
    </row>
    <row r="14" spans="1:34">
      <c r="A14" s="31" t="s">
        <v>95</v>
      </c>
      <c r="B14" s="23" t="s">
        <v>88</v>
      </c>
      <c r="C14" s="24">
        <v>0</v>
      </c>
      <c r="D14" s="24">
        <v>4</v>
      </c>
      <c r="E14" s="24">
        <v>4</v>
      </c>
      <c r="F14" s="24">
        <v>4</v>
      </c>
      <c r="G14" s="24">
        <v>6.5</v>
      </c>
      <c r="H14" s="24">
        <v>6.5</v>
      </c>
      <c r="I14" s="24">
        <v>0</v>
      </c>
      <c r="J14" s="24">
        <v>0</v>
      </c>
      <c r="K14" s="24">
        <v>4</v>
      </c>
      <c r="L14" s="24">
        <v>4</v>
      </c>
      <c r="M14" s="24">
        <v>4</v>
      </c>
      <c r="N14" s="24">
        <v>6.5</v>
      </c>
      <c r="O14" s="24">
        <v>6.5</v>
      </c>
      <c r="P14" s="24">
        <v>0</v>
      </c>
      <c r="Q14" s="24">
        <v>0</v>
      </c>
      <c r="R14" s="24">
        <v>4</v>
      </c>
      <c r="S14" s="24">
        <v>4.5</v>
      </c>
      <c r="T14" s="24">
        <v>4</v>
      </c>
      <c r="U14" s="24">
        <v>6.5</v>
      </c>
      <c r="V14" s="24">
        <v>6.5</v>
      </c>
      <c r="W14" s="24">
        <v>0</v>
      </c>
      <c r="X14" s="24">
        <v>0</v>
      </c>
      <c r="Y14" s="24">
        <v>3.83</v>
      </c>
      <c r="Z14" s="24">
        <v>3.83</v>
      </c>
      <c r="AA14" s="24">
        <v>4</v>
      </c>
      <c r="AB14" s="24">
        <v>6.5</v>
      </c>
      <c r="AC14" s="24">
        <v>6.5</v>
      </c>
      <c r="AD14" s="24">
        <v>0</v>
      </c>
      <c r="AE14" s="24">
        <v>0</v>
      </c>
      <c r="AF14" s="24">
        <v>0</v>
      </c>
      <c r="AG14" s="24">
        <v>0</v>
      </c>
      <c r="AH14" s="24">
        <v>3.2309677419354839</v>
      </c>
    </row>
    <row r="15" spans="1:34">
      <c r="A15" s="31"/>
      <c r="B15" s="23" t="s">
        <v>89</v>
      </c>
      <c r="C15" s="24">
        <v>0.7</v>
      </c>
      <c r="D15" s="24">
        <v>0.7</v>
      </c>
      <c r="E15" s="24">
        <v>0.7</v>
      </c>
      <c r="F15" s="24">
        <v>0.7</v>
      </c>
      <c r="G15" s="24">
        <v>0.7</v>
      </c>
      <c r="H15" s="24">
        <v>0.7</v>
      </c>
      <c r="I15" s="24">
        <v>0.7</v>
      </c>
      <c r="J15" s="24">
        <v>0.7</v>
      </c>
      <c r="K15" s="24">
        <v>0.7</v>
      </c>
      <c r="L15" s="24">
        <v>0.7</v>
      </c>
      <c r="M15" s="24">
        <v>0.7</v>
      </c>
      <c r="N15" s="24">
        <v>0.7</v>
      </c>
      <c r="O15" s="24">
        <v>0.7</v>
      </c>
      <c r="P15" s="24">
        <v>0.7</v>
      </c>
      <c r="Q15" s="24">
        <v>0.7</v>
      </c>
      <c r="R15" s="24">
        <v>0.7</v>
      </c>
      <c r="S15" s="24">
        <v>0.7</v>
      </c>
      <c r="T15" s="24">
        <v>0.7</v>
      </c>
      <c r="U15" s="24">
        <v>0.7</v>
      </c>
      <c r="V15" s="24">
        <v>0.7</v>
      </c>
      <c r="W15" s="24">
        <v>0.7</v>
      </c>
      <c r="X15" s="24">
        <v>0.7</v>
      </c>
      <c r="Y15" s="24">
        <v>0.7</v>
      </c>
      <c r="Z15" s="24">
        <v>0.7</v>
      </c>
      <c r="AA15" s="24">
        <v>0.7</v>
      </c>
      <c r="AB15" s="24">
        <v>0.7</v>
      </c>
      <c r="AC15" s="24">
        <v>0.7</v>
      </c>
      <c r="AD15" s="24">
        <v>0.7</v>
      </c>
      <c r="AE15" s="24">
        <v>0.7</v>
      </c>
      <c r="AF15" s="24">
        <v>0.7</v>
      </c>
      <c r="AG15" s="24">
        <v>0.7</v>
      </c>
      <c r="AH15" s="24">
        <v>0.69999999999999962</v>
      </c>
    </row>
    <row r="16" spans="1:34">
      <c r="A16" s="31"/>
      <c r="B16" s="23" t="s">
        <v>90</v>
      </c>
      <c r="C16" s="24">
        <v>0</v>
      </c>
      <c r="D16" s="24">
        <v>2.8</v>
      </c>
      <c r="E16" s="24">
        <v>2.8</v>
      </c>
      <c r="F16" s="24">
        <v>2.8</v>
      </c>
      <c r="G16" s="24">
        <v>4.55</v>
      </c>
      <c r="H16" s="24">
        <v>4.55</v>
      </c>
      <c r="I16" s="24">
        <v>0</v>
      </c>
      <c r="J16" s="24">
        <v>0</v>
      </c>
      <c r="K16" s="24">
        <v>2.8</v>
      </c>
      <c r="L16" s="24">
        <v>2.8</v>
      </c>
      <c r="M16" s="24">
        <v>2.8</v>
      </c>
      <c r="N16" s="24">
        <v>4.55</v>
      </c>
      <c r="O16" s="24">
        <v>4.55</v>
      </c>
      <c r="P16" s="24">
        <v>0</v>
      </c>
      <c r="Q16" s="24">
        <v>0</v>
      </c>
      <c r="R16" s="24">
        <v>2.8</v>
      </c>
      <c r="S16" s="24">
        <v>3.15</v>
      </c>
      <c r="T16" s="24">
        <v>2.8</v>
      </c>
      <c r="U16" s="24">
        <v>4.55</v>
      </c>
      <c r="V16" s="24">
        <v>4.55</v>
      </c>
      <c r="W16" s="24">
        <v>0</v>
      </c>
      <c r="X16" s="24">
        <v>0</v>
      </c>
      <c r="Y16" s="24">
        <v>2.681</v>
      </c>
      <c r="Z16" s="24">
        <v>2.681</v>
      </c>
      <c r="AA16" s="24">
        <v>2.8</v>
      </c>
      <c r="AB16" s="24">
        <v>4.55</v>
      </c>
      <c r="AC16" s="24">
        <v>4.55</v>
      </c>
      <c r="AD16" s="24">
        <v>0</v>
      </c>
      <c r="AE16" s="24">
        <v>0</v>
      </c>
      <c r="AF16" s="24">
        <v>0</v>
      </c>
      <c r="AG16" s="24">
        <v>0</v>
      </c>
      <c r="AH16" s="24">
        <v>2.2616774193548381</v>
      </c>
    </row>
    <row r="17" spans="1:34">
      <c r="A17" s="31"/>
      <c r="B17" s="23" t="s">
        <v>91</v>
      </c>
      <c r="C17" s="24">
        <v>0</v>
      </c>
      <c r="D17" s="24">
        <v>4.5833333333333339</v>
      </c>
      <c r="E17" s="24">
        <v>3.5333333333333332</v>
      </c>
      <c r="F17" s="24">
        <v>3.7166666666666663</v>
      </c>
      <c r="G17" s="24">
        <v>1.45</v>
      </c>
      <c r="H17" s="24">
        <v>0.93333333333333335</v>
      </c>
      <c r="I17" s="24">
        <v>0</v>
      </c>
      <c r="J17" s="24">
        <v>0</v>
      </c>
      <c r="K17" s="24">
        <v>5.6833333333333327</v>
      </c>
      <c r="L17" s="24">
        <v>2.2666666666666666</v>
      </c>
      <c r="M17" s="24">
        <v>3.0833333333333335</v>
      </c>
      <c r="N17" s="24">
        <v>0.26666666666666666</v>
      </c>
      <c r="O17" s="24">
        <v>2.2666666666666666</v>
      </c>
      <c r="P17" s="24">
        <v>0</v>
      </c>
      <c r="Q17" s="24">
        <v>0</v>
      </c>
      <c r="R17" s="24">
        <v>2.8166666666666664</v>
      </c>
      <c r="S17" s="24">
        <v>1.95</v>
      </c>
      <c r="T17" s="24">
        <v>2.9333333333333331</v>
      </c>
      <c r="U17" s="24">
        <v>3.7666666666666666</v>
      </c>
      <c r="V17" s="24">
        <v>1.4333333333333333</v>
      </c>
      <c r="W17" s="24">
        <v>0</v>
      </c>
      <c r="X17" s="24">
        <v>0</v>
      </c>
      <c r="Y17" s="24">
        <v>2.25</v>
      </c>
      <c r="Z17" s="24">
        <v>3.5166666666666666</v>
      </c>
      <c r="AA17" s="24">
        <v>4.1999999999999993</v>
      </c>
      <c r="AB17" s="24">
        <v>0.7</v>
      </c>
      <c r="AC17" s="24">
        <v>2.0500000000000003</v>
      </c>
      <c r="AD17" s="24">
        <v>0.66666666666666663</v>
      </c>
      <c r="AE17" s="24">
        <v>0</v>
      </c>
      <c r="AF17" s="24">
        <v>2.6666666666666665</v>
      </c>
      <c r="AG17" s="24">
        <v>3.3333333333333335</v>
      </c>
      <c r="AH17" s="24">
        <v>1.9376344086021502</v>
      </c>
    </row>
    <row r="18" spans="1:34">
      <c r="A18" s="31"/>
      <c r="B18" s="23" t="s">
        <v>92</v>
      </c>
      <c r="C18" s="24">
        <v>0</v>
      </c>
      <c r="D18" s="24">
        <v>-1.7833333333333341</v>
      </c>
      <c r="E18" s="24">
        <v>-0.73333333333333339</v>
      </c>
      <c r="F18" s="24">
        <v>-0.91666666666666652</v>
      </c>
      <c r="G18" s="24">
        <v>3.0999999999999996</v>
      </c>
      <c r="H18" s="24">
        <v>3.6166666666666663</v>
      </c>
      <c r="I18" s="24">
        <v>0</v>
      </c>
      <c r="J18" s="24">
        <v>0</v>
      </c>
      <c r="K18" s="24">
        <v>-2.8833333333333329</v>
      </c>
      <c r="L18" s="24">
        <v>0.53333333333333321</v>
      </c>
      <c r="M18" s="24">
        <v>-0.28333333333333366</v>
      </c>
      <c r="N18" s="24">
        <v>4.2833333333333332</v>
      </c>
      <c r="O18" s="24">
        <v>2.2833333333333332</v>
      </c>
      <c r="P18" s="24">
        <v>0</v>
      </c>
      <c r="Q18" s="24">
        <v>0</v>
      </c>
      <c r="R18" s="24">
        <v>-1.6666666666666607E-2</v>
      </c>
      <c r="S18" s="24">
        <v>1.2</v>
      </c>
      <c r="T18" s="24">
        <v>-0.1333333333333333</v>
      </c>
      <c r="U18" s="24">
        <v>0.78333333333333321</v>
      </c>
      <c r="V18" s="24">
        <v>3.1166666666666663</v>
      </c>
      <c r="W18" s="24">
        <v>0</v>
      </c>
      <c r="X18" s="24">
        <v>0</v>
      </c>
      <c r="Y18" s="24">
        <v>0.43100000000000005</v>
      </c>
      <c r="Z18" s="24">
        <v>-0.83566666666666656</v>
      </c>
      <c r="AA18" s="24">
        <v>-1.3999999999999995</v>
      </c>
      <c r="AB18" s="24">
        <v>3.8499999999999996</v>
      </c>
      <c r="AC18" s="24">
        <v>2.4999999999999996</v>
      </c>
      <c r="AD18" s="24">
        <v>-0.66666666666666663</v>
      </c>
      <c r="AE18" s="24">
        <v>0</v>
      </c>
      <c r="AF18" s="24">
        <v>-2.6666666666666665</v>
      </c>
      <c r="AG18" s="24">
        <v>-3.3333333333333335</v>
      </c>
      <c r="AH18" s="24">
        <v>0.32404301075268799</v>
      </c>
    </row>
    <row r="19" spans="1:34">
      <c r="A19" s="31"/>
      <c r="B19" s="25" t="s">
        <v>93</v>
      </c>
      <c r="C19" s="26">
        <v>0</v>
      </c>
      <c r="D19" s="26">
        <v>1</v>
      </c>
      <c r="E19" s="26">
        <v>1</v>
      </c>
      <c r="F19" s="26">
        <v>1</v>
      </c>
      <c r="G19" s="26">
        <v>0.31868131868131866</v>
      </c>
      <c r="H19" s="26">
        <v>0.20512820512820515</v>
      </c>
      <c r="I19" s="26">
        <v>0</v>
      </c>
      <c r="J19" s="26">
        <v>0</v>
      </c>
      <c r="K19" s="26">
        <v>1</v>
      </c>
      <c r="L19" s="26">
        <v>0.80952380952380953</v>
      </c>
      <c r="M19" s="26">
        <v>1</v>
      </c>
      <c r="N19" s="26">
        <v>5.8608058608058608E-2</v>
      </c>
      <c r="O19" s="26">
        <v>0.49816849816849818</v>
      </c>
      <c r="P19" s="26">
        <v>0</v>
      </c>
      <c r="Q19" s="26">
        <v>0</v>
      </c>
      <c r="R19" s="26">
        <v>1</v>
      </c>
      <c r="S19" s="26">
        <v>0.61904761904761907</v>
      </c>
      <c r="T19" s="26">
        <v>1</v>
      </c>
      <c r="U19" s="26">
        <v>0.8278388278388279</v>
      </c>
      <c r="V19" s="26">
        <v>0.31501831501831501</v>
      </c>
      <c r="W19" s="26">
        <v>0</v>
      </c>
      <c r="X19" s="26">
        <v>0</v>
      </c>
      <c r="Y19" s="26">
        <v>0.83923908989183138</v>
      </c>
      <c r="Z19" s="26">
        <v>1</v>
      </c>
      <c r="AA19" s="26">
        <v>1</v>
      </c>
      <c r="AB19" s="26">
        <v>0.15384615384615385</v>
      </c>
      <c r="AC19" s="26">
        <v>0.45054945054945061</v>
      </c>
      <c r="AD19" s="26">
        <v>0</v>
      </c>
      <c r="AE19" s="26">
        <v>0</v>
      </c>
      <c r="AF19" s="26">
        <v>0</v>
      </c>
      <c r="AG19" s="26">
        <v>0</v>
      </c>
      <c r="AH19" s="26">
        <v>0.85672447892895187</v>
      </c>
    </row>
    <row r="20" spans="1:34">
      <c r="A20" s="31" t="s">
        <v>96</v>
      </c>
      <c r="B20" s="23" t="s">
        <v>88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2</v>
      </c>
      <c r="L20" s="24">
        <v>2</v>
      </c>
      <c r="M20" s="24">
        <v>2</v>
      </c>
      <c r="N20" s="24">
        <v>6.5</v>
      </c>
      <c r="O20" s="24">
        <v>0</v>
      </c>
      <c r="P20" s="24">
        <v>0</v>
      </c>
      <c r="Q20" s="24">
        <v>1.5</v>
      </c>
      <c r="R20" s="24">
        <v>1.5</v>
      </c>
      <c r="S20" s="24">
        <v>0</v>
      </c>
      <c r="T20" s="24">
        <v>0</v>
      </c>
      <c r="U20" s="24">
        <v>6.5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6.5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28.5</v>
      </c>
    </row>
    <row r="21" spans="1:34">
      <c r="A21" s="31"/>
      <c r="B21" s="23" t="s">
        <v>89</v>
      </c>
      <c r="C21" s="24">
        <v>0.7</v>
      </c>
      <c r="D21" s="24">
        <v>0.7</v>
      </c>
      <c r="E21" s="24">
        <v>0.7</v>
      </c>
      <c r="F21" s="24">
        <v>0.7</v>
      </c>
      <c r="G21" s="24">
        <v>0.7</v>
      </c>
      <c r="H21" s="24">
        <v>0.7</v>
      </c>
      <c r="I21" s="24">
        <v>0.7</v>
      </c>
      <c r="J21" s="24">
        <v>0.7</v>
      </c>
      <c r="K21" s="24">
        <v>0.7</v>
      </c>
      <c r="L21" s="24">
        <v>0.7</v>
      </c>
      <c r="M21" s="24">
        <v>0.7</v>
      </c>
      <c r="N21" s="24">
        <v>0.7</v>
      </c>
      <c r="O21" s="24">
        <v>0.7</v>
      </c>
      <c r="P21" s="24">
        <v>0.7</v>
      </c>
      <c r="Q21" s="24">
        <v>0.7</v>
      </c>
      <c r="R21" s="24">
        <v>0.7</v>
      </c>
      <c r="S21" s="24">
        <v>0.7</v>
      </c>
      <c r="T21" s="24">
        <v>0.7</v>
      </c>
      <c r="U21" s="24">
        <v>0.7</v>
      </c>
      <c r="V21" s="24">
        <v>0.7</v>
      </c>
      <c r="W21" s="24">
        <v>0.7</v>
      </c>
      <c r="X21" s="24">
        <v>0.7</v>
      </c>
      <c r="Y21" s="24">
        <v>0.7</v>
      </c>
      <c r="Z21" s="24">
        <v>0.7</v>
      </c>
      <c r="AA21" s="24">
        <v>0.7</v>
      </c>
      <c r="AB21" s="24">
        <v>0.7</v>
      </c>
      <c r="AC21" s="24">
        <v>0.7</v>
      </c>
      <c r="AD21" s="24">
        <v>0.7</v>
      </c>
      <c r="AE21" s="24">
        <v>0.7</v>
      </c>
      <c r="AF21" s="24">
        <v>0.7</v>
      </c>
      <c r="AG21" s="24">
        <v>0.7</v>
      </c>
      <c r="AH21" s="24">
        <v>0.69999999999999962</v>
      </c>
    </row>
    <row r="22" spans="1:34">
      <c r="A22" s="31"/>
      <c r="B22" s="23" t="s">
        <v>90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1.4</v>
      </c>
      <c r="L22" s="24">
        <v>1.4</v>
      </c>
      <c r="M22" s="24">
        <v>1.4</v>
      </c>
      <c r="N22" s="24">
        <v>4.55</v>
      </c>
      <c r="O22" s="24">
        <v>0</v>
      </c>
      <c r="P22" s="24">
        <v>0</v>
      </c>
      <c r="Q22" s="24">
        <v>1.0499999999999998</v>
      </c>
      <c r="R22" s="24">
        <v>1.0499999999999998</v>
      </c>
      <c r="S22" s="24">
        <v>0</v>
      </c>
      <c r="T22" s="24">
        <v>0</v>
      </c>
      <c r="U22" s="24">
        <v>4.55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4.55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0.64354838709677431</v>
      </c>
    </row>
    <row r="23" spans="1:34">
      <c r="A23" s="31"/>
      <c r="B23" s="23" t="s">
        <v>91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8.3333333333333329E-2</v>
      </c>
      <c r="L23" s="24">
        <v>8.3333333333333329E-2</v>
      </c>
      <c r="M23" s="24">
        <v>0.58333333333333337</v>
      </c>
      <c r="N23" s="24">
        <v>0.16666666666666666</v>
      </c>
      <c r="O23" s="24">
        <v>0</v>
      </c>
      <c r="P23" s="24">
        <v>0</v>
      </c>
      <c r="Q23" s="24">
        <v>0.16666666666666666</v>
      </c>
      <c r="R23" s="24">
        <v>0.5</v>
      </c>
      <c r="S23" s="24">
        <v>8.3333333333333329E-2</v>
      </c>
      <c r="T23" s="24">
        <v>0</v>
      </c>
      <c r="U23" s="24">
        <v>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0.16666666666666666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H23" s="24">
        <v>49.875</v>
      </c>
    </row>
    <row r="24" spans="1:34">
      <c r="A24" s="31"/>
      <c r="B24" s="23" t="s">
        <v>92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1.3166666666666667</v>
      </c>
      <c r="L24" s="24">
        <v>1.3166666666666667</v>
      </c>
      <c r="M24" s="24">
        <v>0.81666666666666654</v>
      </c>
      <c r="N24" s="24">
        <v>4.3833333333333329</v>
      </c>
      <c r="O24" s="24">
        <v>0</v>
      </c>
      <c r="P24" s="24">
        <v>0</v>
      </c>
      <c r="Q24" s="24">
        <v>0.88333333333333319</v>
      </c>
      <c r="R24" s="24">
        <v>0.54999999999999982</v>
      </c>
      <c r="S24" s="24">
        <v>-8.3333333333333329E-2</v>
      </c>
      <c r="T24" s="24">
        <v>0</v>
      </c>
      <c r="U24" s="24">
        <v>3.55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4.3833333333333329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0.55215053763440847</v>
      </c>
    </row>
    <row r="25" spans="1:34">
      <c r="A25" s="31"/>
      <c r="B25" s="25" t="s">
        <v>93</v>
      </c>
      <c r="C25" s="26">
        <v>0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5.9523809523809527E-2</v>
      </c>
      <c r="L25" s="26">
        <v>5.9523809523809527E-2</v>
      </c>
      <c r="M25" s="26">
        <v>0.41666666666666674</v>
      </c>
      <c r="N25" s="26">
        <v>3.6630036630036632E-2</v>
      </c>
      <c r="O25" s="26">
        <v>0</v>
      </c>
      <c r="P25" s="26">
        <v>0</v>
      </c>
      <c r="Q25" s="26">
        <v>0.15873015873015875</v>
      </c>
      <c r="R25" s="26">
        <v>0.47619047619047628</v>
      </c>
      <c r="S25" s="26">
        <v>0</v>
      </c>
      <c r="T25" s="26">
        <v>0</v>
      </c>
      <c r="U25" s="26">
        <v>0.21978021978021978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3.6630036630036632E-2</v>
      </c>
      <c r="AC25" s="26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1</v>
      </c>
    </row>
    <row r="26" spans="1:34">
      <c r="A26" s="31" t="s">
        <v>97</v>
      </c>
      <c r="B26" s="23" t="s">
        <v>88</v>
      </c>
      <c r="C26" s="24">
        <v>5.8</v>
      </c>
      <c r="D26" s="24">
        <v>5.7</v>
      </c>
      <c r="E26" s="24">
        <v>6.4</v>
      </c>
      <c r="F26" s="24">
        <v>5.9</v>
      </c>
      <c r="G26" s="24">
        <v>0</v>
      </c>
      <c r="H26" s="24">
        <v>0</v>
      </c>
      <c r="I26" s="24">
        <v>5.4</v>
      </c>
      <c r="J26" s="24">
        <v>5.9</v>
      </c>
      <c r="K26" s="24">
        <v>5.2</v>
      </c>
      <c r="L26" s="24">
        <v>6.34</v>
      </c>
      <c r="M26" s="24">
        <v>6.47</v>
      </c>
      <c r="N26" s="24">
        <v>0</v>
      </c>
      <c r="O26" s="24">
        <v>0</v>
      </c>
      <c r="P26" s="24">
        <v>6.1</v>
      </c>
      <c r="Q26" s="24">
        <v>5.47</v>
      </c>
      <c r="R26" s="24">
        <v>6.2</v>
      </c>
      <c r="S26" s="24">
        <v>6.07</v>
      </c>
      <c r="T26" s="24">
        <v>6.05</v>
      </c>
      <c r="U26" s="24">
        <v>0</v>
      </c>
      <c r="V26" s="24">
        <v>0</v>
      </c>
      <c r="W26" s="24">
        <v>6.71</v>
      </c>
      <c r="X26" s="24">
        <v>6.83</v>
      </c>
      <c r="Y26" s="24">
        <v>6.05</v>
      </c>
      <c r="Z26" s="24">
        <v>6.22</v>
      </c>
      <c r="AA26" s="24">
        <v>0</v>
      </c>
      <c r="AB26" s="24">
        <v>0</v>
      </c>
      <c r="AC26" s="24">
        <v>0</v>
      </c>
      <c r="AD26" s="24">
        <v>5.65</v>
      </c>
      <c r="AE26" s="24">
        <v>0</v>
      </c>
      <c r="AF26" s="24">
        <v>0</v>
      </c>
      <c r="AG26" s="24">
        <v>0</v>
      </c>
      <c r="AH26" s="24">
        <v>114.46000000000001</v>
      </c>
    </row>
    <row r="27" spans="1:34">
      <c r="A27" s="31"/>
      <c r="B27" s="23" t="s">
        <v>89</v>
      </c>
      <c r="C27" s="24">
        <v>0.7</v>
      </c>
      <c r="D27" s="24">
        <v>0.7</v>
      </c>
      <c r="E27" s="24">
        <v>0.7</v>
      </c>
      <c r="F27" s="24">
        <v>0.7</v>
      </c>
      <c r="G27" s="24">
        <v>0.7</v>
      </c>
      <c r="H27" s="24">
        <v>0.7</v>
      </c>
      <c r="I27" s="24">
        <v>0.7</v>
      </c>
      <c r="J27" s="24">
        <v>0.7</v>
      </c>
      <c r="K27" s="24">
        <v>0.7</v>
      </c>
      <c r="L27" s="24">
        <v>0.7</v>
      </c>
      <c r="M27" s="24">
        <v>0.7</v>
      </c>
      <c r="N27" s="24">
        <v>0.7</v>
      </c>
      <c r="O27" s="24">
        <v>0.7</v>
      </c>
      <c r="P27" s="24">
        <v>0.7</v>
      </c>
      <c r="Q27" s="24">
        <v>0.7</v>
      </c>
      <c r="R27" s="24">
        <v>0.7</v>
      </c>
      <c r="S27" s="24">
        <v>0.7</v>
      </c>
      <c r="T27" s="24">
        <v>0.7</v>
      </c>
      <c r="U27" s="24">
        <v>0.7</v>
      </c>
      <c r="V27" s="24">
        <v>0.7</v>
      </c>
      <c r="W27" s="24">
        <v>0.7</v>
      </c>
      <c r="X27" s="24">
        <v>0.7</v>
      </c>
      <c r="Y27" s="24">
        <v>0.7</v>
      </c>
      <c r="Z27" s="24">
        <v>0.7</v>
      </c>
      <c r="AA27" s="24">
        <v>0.7</v>
      </c>
      <c r="AB27" s="24">
        <v>0.7</v>
      </c>
      <c r="AC27" s="24">
        <v>0.7</v>
      </c>
      <c r="AD27" s="24">
        <v>0.7</v>
      </c>
      <c r="AE27" s="24">
        <v>0.7</v>
      </c>
      <c r="AF27" s="24">
        <v>0.7</v>
      </c>
      <c r="AG27" s="24">
        <v>0.7</v>
      </c>
      <c r="AH27" s="24">
        <v>0.69999999999999962</v>
      </c>
    </row>
    <row r="28" spans="1:34">
      <c r="A28" s="31"/>
      <c r="B28" s="23" t="s">
        <v>90</v>
      </c>
      <c r="C28" s="24">
        <v>4.0599999999999996</v>
      </c>
      <c r="D28" s="24">
        <v>3.9899999999999998</v>
      </c>
      <c r="E28" s="24">
        <v>4.4799999999999995</v>
      </c>
      <c r="F28" s="24">
        <v>4.13</v>
      </c>
      <c r="G28" s="24">
        <v>0</v>
      </c>
      <c r="H28" s="24">
        <v>0</v>
      </c>
      <c r="I28" s="24">
        <v>3.78</v>
      </c>
      <c r="J28" s="24">
        <v>4.13</v>
      </c>
      <c r="K28" s="24">
        <v>3.6399999999999997</v>
      </c>
      <c r="L28" s="24">
        <v>4.4379999999999997</v>
      </c>
      <c r="M28" s="24">
        <v>4.5289999999999999</v>
      </c>
      <c r="N28" s="24">
        <v>0</v>
      </c>
      <c r="O28" s="24">
        <v>0</v>
      </c>
      <c r="P28" s="24">
        <v>4.2699999999999996</v>
      </c>
      <c r="Q28" s="24">
        <v>3.8289999999999997</v>
      </c>
      <c r="R28" s="24">
        <v>4.34</v>
      </c>
      <c r="S28" s="24">
        <v>4.2489999999999997</v>
      </c>
      <c r="T28" s="24">
        <v>4.2349999999999994</v>
      </c>
      <c r="U28" s="24">
        <v>0</v>
      </c>
      <c r="V28" s="24">
        <v>0</v>
      </c>
      <c r="W28" s="24">
        <v>4.6970000000000001</v>
      </c>
      <c r="X28" s="24">
        <v>4.7809999999999997</v>
      </c>
      <c r="Y28" s="24">
        <v>4.2349999999999994</v>
      </c>
      <c r="Z28" s="24">
        <v>4.3539999999999992</v>
      </c>
      <c r="AA28" s="24">
        <v>0</v>
      </c>
      <c r="AB28" s="24">
        <v>0</v>
      </c>
      <c r="AC28" s="24">
        <v>0</v>
      </c>
      <c r="AD28" s="24">
        <v>3.9550000000000001</v>
      </c>
      <c r="AE28" s="24">
        <v>0</v>
      </c>
      <c r="AF28" s="24">
        <v>0</v>
      </c>
      <c r="AG28" s="24">
        <v>0</v>
      </c>
      <c r="AH28" s="24">
        <v>2.58458064516129</v>
      </c>
    </row>
    <row r="29" spans="1:34">
      <c r="A29" s="31"/>
      <c r="B29" s="23" t="s">
        <v>91</v>
      </c>
      <c r="C29" s="24">
        <v>0.4</v>
      </c>
      <c r="D29" s="24">
        <v>0.48333333333333334</v>
      </c>
      <c r="E29" s="24">
        <v>1.3166666666666667</v>
      </c>
      <c r="F29" s="24">
        <v>0.56666666666666665</v>
      </c>
      <c r="G29" s="24">
        <v>0.05</v>
      </c>
      <c r="H29" s="24">
        <v>0</v>
      </c>
      <c r="I29" s="24">
        <v>0.3833333333333333</v>
      </c>
      <c r="J29" s="24">
        <v>0.43333333333333335</v>
      </c>
      <c r="K29" s="24">
        <v>0.43333333333333335</v>
      </c>
      <c r="L29" s="24">
        <v>1</v>
      </c>
      <c r="M29" s="24">
        <v>1.5166666666666666</v>
      </c>
      <c r="N29" s="24">
        <v>1.6666666666666666E-2</v>
      </c>
      <c r="O29" s="24">
        <v>0</v>
      </c>
      <c r="P29" s="24">
        <v>2.6166666666666667</v>
      </c>
      <c r="Q29" s="24">
        <v>2.3666666666666667</v>
      </c>
      <c r="R29" s="24">
        <v>2.5333333333333332</v>
      </c>
      <c r="S29" s="24">
        <v>0.66666666666666674</v>
      </c>
      <c r="T29" s="24">
        <v>1.05</v>
      </c>
      <c r="U29" s="24">
        <v>0</v>
      </c>
      <c r="V29" s="24">
        <v>0</v>
      </c>
      <c r="W29" s="24">
        <v>1.1000000000000001</v>
      </c>
      <c r="X29" s="24">
        <v>0.73333333333333339</v>
      </c>
      <c r="Y29" s="24">
        <v>3.75</v>
      </c>
      <c r="Z29" s="24">
        <v>0.95</v>
      </c>
      <c r="AA29" s="24">
        <v>2.3666666666666667</v>
      </c>
      <c r="AB29" s="24">
        <v>0</v>
      </c>
      <c r="AC29" s="24">
        <v>0</v>
      </c>
      <c r="AD29" s="24">
        <v>2.4499999999999997</v>
      </c>
      <c r="AE29" s="24">
        <v>0.83333333333333337</v>
      </c>
      <c r="AF29" s="24">
        <v>0</v>
      </c>
      <c r="AG29" s="24">
        <v>0</v>
      </c>
      <c r="AH29" s="24">
        <v>255.04952733446521</v>
      </c>
    </row>
    <row r="30" spans="1:34">
      <c r="A30" s="31"/>
      <c r="B30" s="23" t="s">
        <v>92</v>
      </c>
      <c r="C30" s="24">
        <v>3.6599999999999997</v>
      </c>
      <c r="D30" s="24">
        <v>3.5066666666666664</v>
      </c>
      <c r="E30" s="24">
        <v>3.1633333333333331</v>
      </c>
      <c r="F30" s="24">
        <v>3.5633333333333335</v>
      </c>
      <c r="G30" s="24">
        <v>-0.05</v>
      </c>
      <c r="H30" s="24">
        <v>0</v>
      </c>
      <c r="I30" s="24">
        <v>3.3966666666666665</v>
      </c>
      <c r="J30" s="24">
        <v>3.6966666666666663</v>
      </c>
      <c r="K30" s="24">
        <v>3.2066666666666661</v>
      </c>
      <c r="L30" s="24">
        <v>3.4379999999999997</v>
      </c>
      <c r="M30" s="24">
        <v>3.0123333333333333</v>
      </c>
      <c r="N30" s="24">
        <v>-1.6666666666666666E-2</v>
      </c>
      <c r="O30" s="24">
        <v>0</v>
      </c>
      <c r="P30" s="24">
        <v>1.6533333333333329</v>
      </c>
      <c r="Q30" s="24">
        <v>1.462333333333333</v>
      </c>
      <c r="R30" s="24">
        <v>1.8066666666666666</v>
      </c>
      <c r="S30" s="24">
        <v>3.5823333333333327</v>
      </c>
      <c r="T30" s="24">
        <v>3.1849999999999996</v>
      </c>
      <c r="U30" s="24">
        <v>0</v>
      </c>
      <c r="V30" s="24">
        <v>0</v>
      </c>
      <c r="W30" s="24">
        <v>3.597</v>
      </c>
      <c r="X30" s="24">
        <v>4.0476666666666663</v>
      </c>
      <c r="Y30" s="24">
        <v>0.48499999999999943</v>
      </c>
      <c r="Z30" s="24">
        <v>3.403999999999999</v>
      </c>
      <c r="AA30" s="24">
        <v>-2.3666666666666667</v>
      </c>
      <c r="AB30" s="24">
        <v>0</v>
      </c>
      <c r="AC30" s="24">
        <v>0</v>
      </c>
      <c r="AD30" s="24">
        <v>1.5050000000000003</v>
      </c>
      <c r="AE30" s="24">
        <v>-0.83333333333333337</v>
      </c>
      <c r="AF30" s="24">
        <v>0</v>
      </c>
      <c r="AG30" s="24">
        <v>0</v>
      </c>
      <c r="AH30" s="24">
        <v>1.6808172043010747</v>
      </c>
    </row>
    <row r="31" spans="1:34">
      <c r="A31" s="31"/>
      <c r="B31" s="25" t="s">
        <v>93</v>
      </c>
      <c r="C31" s="26">
        <v>0</v>
      </c>
      <c r="D31" s="26">
        <v>0.12113617376775272</v>
      </c>
      <c r="E31" s="26">
        <v>0.29389880952380953</v>
      </c>
      <c r="F31" s="26">
        <v>0.13720742534301855</v>
      </c>
      <c r="G31" s="26">
        <v>0</v>
      </c>
      <c r="H31" s="26">
        <v>0</v>
      </c>
      <c r="I31" s="26">
        <v>0.10141093474426807</v>
      </c>
      <c r="J31" s="26">
        <v>0.10492332526230833</v>
      </c>
      <c r="K31" s="26">
        <v>0.11904761904761907</v>
      </c>
      <c r="L31" s="26">
        <v>0.22532672374943669</v>
      </c>
      <c r="M31" s="26">
        <v>0.33487892838742916</v>
      </c>
      <c r="N31" s="26">
        <v>0</v>
      </c>
      <c r="O31" s="26">
        <v>0</v>
      </c>
      <c r="P31" s="26">
        <v>0.6128024980483997</v>
      </c>
      <c r="Q31" s="26">
        <v>0.61809001479933845</v>
      </c>
      <c r="R31" s="26">
        <v>0.58371735791090629</v>
      </c>
      <c r="S31" s="26">
        <v>0.1568996626657253</v>
      </c>
      <c r="T31" s="26">
        <v>0.2479338842975207</v>
      </c>
      <c r="U31" s="26">
        <v>0</v>
      </c>
      <c r="V31" s="26">
        <v>0</v>
      </c>
      <c r="W31" s="26">
        <v>0.23419203747072601</v>
      </c>
      <c r="X31" s="26">
        <v>0.15338492644495574</v>
      </c>
      <c r="Y31" s="26">
        <v>0.88547815820543108</v>
      </c>
      <c r="Z31" s="26">
        <v>0.21819016995865873</v>
      </c>
      <c r="AA31" s="26">
        <v>0</v>
      </c>
      <c r="AB31" s="26">
        <v>0</v>
      </c>
      <c r="AC31" s="26">
        <v>0</v>
      </c>
      <c r="AD31" s="26">
        <v>0.61946902654867253</v>
      </c>
      <c r="AE31" s="26">
        <v>0</v>
      </c>
      <c r="AF31" s="26">
        <v>0</v>
      </c>
      <c r="AG31" s="26">
        <v>0</v>
      </c>
      <c r="AH31" s="26">
        <v>1</v>
      </c>
    </row>
    <row r="32" spans="1:34">
      <c r="A32" s="31" t="s">
        <v>98</v>
      </c>
      <c r="B32" s="23" t="s">
        <v>88</v>
      </c>
      <c r="C32" s="24">
        <v>0</v>
      </c>
      <c r="D32" s="24">
        <v>0</v>
      </c>
      <c r="E32" s="24">
        <v>3</v>
      </c>
      <c r="F32" s="24">
        <v>3</v>
      </c>
      <c r="G32" s="24">
        <v>4</v>
      </c>
      <c r="H32" s="24">
        <v>6.5</v>
      </c>
      <c r="I32" s="24">
        <v>0</v>
      </c>
      <c r="J32" s="24">
        <v>0</v>
      </c>
      <c r="K32" s="24">
        <v>0</v>
      </c>
      <c r="L32" s="24">
        <v>3</v>
      </c>
      <c r="M32" s="24">
        <v>3</v>
      </c>
      <c r="N32" s="24">
        <v>4</v>
      </c>
      <c r="O32" s="24">
        <v>0</v>
      </c>
      <c r="P32" s="24">
        <v>0</v>
      </c>
      <c r="Q32" s="24">
        <v>0</v>
      </c>
      <c r="R32" s="24">
        <v>0</v>
      </c>
      <c r="S32" s="24">
        <v>3</v>
      </c>
      <c r="T32" s="24">
        <v>3</v>
      </c>
      <c r="U32" s="24">
        <v>4</v>
      </c>
      <c r="V32" s="24">
        <v>6.5</v>
      </c>
      <c r="W32" s="24">
        <v>0</v>
      </c>
      <c r="X32" s="24">
        <v>0</v>
      </c>
      <c r="Y32" s="24">
        <v>0</v>
      </c>
      <c r="Z32" s="24">
        <v>3</v>
      </c>
      <c r="AA32" s="24">
        <v>3</v>
      </c>
      <c r="AB32" s="24">
        <v>4</v>
      </c>
      <c r="AC32" s="24">
        <v>6.5</v>
      </c>
      <c r="AD32" s="24">
        <v>0</v>
      </c>
      <c r="AE32" s="24">
        <v>0</v>
      </c>
      <c r="AF32" s="24">
        <v>0</v>
      </c>
      <c r="AG32" s="24">
        <v>0</v>
      </c>
      <c r="AH32" s="24">
        <v>59.5</v>
      </c>
    </row>
    <row r="33" spans="1:34">
      <c r="A33" s="31"/>
      <c r="B33" s="23" t="s">
        <v>89</v>
      </c>
      <c r="C33" s="24">
        <v>0.7</v>
      </c>
      <c r="D33" s="24">
        <v>0.7</v>
      </c>
      <c r="E33" s="24">
        <v>0.7</v>
      </c>
      <c r="F33" s="24">
        <v>0.7</v>
      </c>
      <c r="G33" s="24">
        <v>0.7</v>
      </c>
      <c r="H33" s="24">
        <v>0.7</v>
      </c>
      <c r="I33" s="24">
        <v>0.7</v>
      </c>
      <c r="J33" s="24">
        <v>0.7</v>
      </c>
      <c r="K33" s="24">
        <v>0.7</v>
      </c>
      <c r="L33" s="24">
        <v>0.7</v>
      </c>
      <c r="M33" s="24">
        <v>0.7</v>
      </c>
      <c r="N33" s="24">
        <v>0.7</v>
      </c>
      <c r="O33" s="24">
        <v>0.7</v>
      </c>
      <c r="P33" s="24">
        <v>0.7</v>
      </c>
      <c r="Q33" s="24">
        <v>0.7</v>
      </c>
      <c r="R33" s="24">
        <v>0.7</v>
      </c>
      <c r="S33" s="24">
        <v>0.7</v>
      </c>
      <c r="T33" s="24">
        <v>0.7</v>
      </c>
      <c r="U33" s="24">
        <v>0.7</v>
      </c>
      <c r="V33" s="24">
        <v>0.7</v>
      </c>
      <c r="W33" s="24">
        <v>0.7</v>
      </c>
      <c r="X33" s="24">
        <v>0.7</v>
      </c>
      <c r="Y33" s="24">
        <v>0.7</v>
      </c>
      <c r="Z33" s="24">
        <v>0.7</v>
      </c>
      <c r="AA33" s="24">
        <v>0.7</v>
      </c>
      <c r="AB33" s="24">
        <v>0.7</v>
      </c>
      <c r="AC33" s="24">
        <v>0.7</v>
      </c>
      <c r="AD33" s="24">
        <v>0.7</v>
      </c>
      <c r="AE33" s="24">
        <v>0.7</v>
      </c>
      <c r="AF33" s="24">
        <v>0.7</v>
      </c>
      <c r="AG33" s="24">
        <v>0.7</v>
      </c>
      <c r="AH33" s="24">
        <v>0.7</v>
      </c>
    </row>
    <row r="34" spans="1:34">
      <c r="A34" s="31"/>
      <c r="B34" s="23" t="s">
        <v>90</v>
      </c>
      <c r="C34" s="24">
        <v>0</v>
      </c>
      <c r="D34" s="24">
        <v>0</v>
      </c>
      <c r="E34" s="24">
        <v>2.0999999999999996</v>
      </c>
      <c r="F34" s="24">
        <v>2.0999999999999996</v>
      </c>
      <c r="G34" s="24">
        <v>2.8</v>
      </c>
      <c r="H34" s="24">
        <v>4.55</v>
      </c>
      <c r="I34" s="24">
        <v>0</v>
      </c>
      <c r="J34" s="24">
        <v>0</v>
      </c>
      <c r="K34" s="24">
        <v>0</v>
      </c>
      <c r="L34" s="24">
        <v>2.0999999999999996</v>
      </c>
      <c r="M34" s="24">
        <v>2.0999999999999996</v>
      </c>
      <c r="N34" s="24">
        <v>2.8</v>
      </c>
      <c r="O34" s="24">
        <v>0</v>
      </c>
      <c r="P34" s="24">
        <v>0</v>
      </c>
      <c r="Q34" s="24">
        <v>0</v>
      </c>
      <c r="R34" s="24">
        <v>0</v>
      </c>
      <c r="S34" s="24">
        <v>2.0999999999999996</v>
      </c>
      <c r="T34" s="24">
        <v>2.0999999999999996</v>
      </c>
      <c r="U34" s="24">
        <v>2.8</v>
      </c>
      <c r="V34" s="24">
        <v>4.55</v>
      </c>
      <c r="W34" s="24">
        <v>0</v>
      </c>
      <c r="X34" s="24">
        <v>0</v>
      </c>
      <c r="Y34" s="24">
        <v>0</v>
      </c>
      <c r="Z34" s="24">
        <v>2.0999999999999996</v>
      </c>
      <c r="AA34" s="24">
        <v>2.0999999999999996</v>
      </c>
      <c r="AB34" s="24">
        <v>2.8</v>
      </c>
      <c r="AC34" s="24">
        <v>4.55</v>
      </c>
      <c r="AD34" s="24">
        <v>0</v>
      </c>
      <c r="AE34" s="24">
        <v>0</v>
      </c>
      <c r="AF34" s="24">
        <v>0</v>
      </c>
      <c r="AG34" s="24">
        <v>0</v>
      </c>
      <c r="AH34" s="24">
        <v>41.65</v>
      </c>
    </row>
    <row r="35" spans="1:34">
      <c r="A35" s="31"/>
      <c r="B35" s="23" t="s">
        <v>91</v>
      </c>
      <c r="C35" s="24">
        <v>0</v>
      </c>
      <c r="D35" s="24">
        <v>0</v>
      </c>
      <c r="E35" s="24">
        <v>4.8666666666666663</v>
      </c>
      <c r="F35" s="24">
        <v>4.3333333333333339</v>
      </c>
      <c r="G35" s="24">
        <v>1.7166666666666666</v>
      </c>
      <c r="H35" s="24">
        <v>3.3666666666666667</v>
      </c>
      <c r="I35" s="24">
        <v>0</v>
      </c>
      <c r="J35" s="24">
        <v>0</v>
      </c>
      <c r="K35" s="24">
        <v>0</v>
      </c>
      <c r="L35" s="24">
        <v>2.7666666666666666</v>
      </c>
      <c r="M35" s="24">
        <v>1.0166666666666666</v>
      </c>
      <c r="N35" s="24">
        <v>0.21666666666666667</v>
      </c>
      <c r="O35" s="24">
        <v>0.73333333333333328</v>
      </c>
      <c r="P35" s="24">
        <v>0</v>
      </c>
      <c r="Q35" s="24">
        <v>0</v>
      </c>
      <c r="R35" s="24">
        <v>0</v>
      </c>
      <c r="S35" s="24">
        <v>2.8666666666666667</v>
      </c>
      <c r="T35" s="24">
        <v>2.4499999999999997</v>
      </c>
      <c r="U35" s="24">
        <v>0.66666666666666674</v>
      </c>
      <c r="V35" s="24">
        <v>1.7000000000000002</v>
      </c>
      <c r="W35" s="24">
        <v>0</v>
      </c>
      <c r="X35" s="24">
        <v>0</v>
      </c>
      <c r="Y35" s="24">
        <v>0</v>
      </c>
      <c r="Z35" s="24">
        <v>2.7166666666666663</v>
      </c>
      <c r="AA35" s="24">
        <v>3.05</v>
      </c>
      <c r="AB35" s="24">
        <v>0.3</v>
      </c>
      <c r="AC35" s="24">
        <v>0.25</v>
      </c>
      <c r="AD35" s="24">
        <v>0</v>
      </c>
      <c r="AE35" s="24">
        <v>0</v>
      </c>
      <c r="AF35" s="24">
        <v>0</v>
      </c>
      <c r="AG35" s="24">
        <v>3.9166666666666665</v>
      </c>
      <c r="AH35" s="24">
        <v>66.052083333333329</v>
      </c>
    </row>
    <row r="36" spans="1:34">
      <c r="A36" s="31"/>
      <c r="B36" s="23" t="s">
        <v>92</v>
      </c>
      <c r="C36" s="24">
        <v>0</v>
      </c>
      <c r="D36" s="24">
        <v>0</v>
      </c>
      <c r="E36" s="24">
        <v>-2.7666666666666666</v>
      </c>
      <c r="F36" s="24">
        <v>-2.2333333333333343</v>
      </c>
      <c r="G36" s="24">
        <v>1.0833333333333333</v>
      </c>
      <c r="H36" s="24">
        <v>1.1833333333333331</v>
      </c>
      <c r="I36" s="24">
        <v>0</v>
      </c>
      <c r="J36" s="24">
        <v>0</v>
      </c>
      <c r="K36" s="24">
        <v>0</v>
      </c>
      <c r="L36" s="24">
        <v>-0.66666666666666696</v>
      </c>
      <c r="M36" s="24">
        <v>1.083333333333333</v>
      </c>
      <c r="N36" s="24">
        <v>2.583333333333333</v>
      </c>
      <c r="O36" s="24">
        <v>-0.73333333333333328</v>
      </c>
      <c r="P36" s="24">
        <v>0</v>
      </c>
      <c r="Q36" s="24">
        <v>0</v>
      </c>
      <c r="R36" s="24">
        <v>0</v>
      </c>
      <c r="S36" s="24">
        <v>-0.76666666666666705</v>
      </c>
      <c r="T36" s="24">
        <v>-0.35000000000000009</v>
      </c>
      <c r="U36" s="24">
        <v>2.1333333333333329</v>
      </c>
      <c r="V36" s="24">
        <v>2.8499999999999996</v>
      </c>
      <c r="W36" s="24">
        <v>0</v>
      </c>
      <c r="X36" s="24">
        <v>0</v>
      </c>
      <c r="Y36" s="24">
        <v>0</v>
      </c>
      <c r="Z36" s="24">
        <v>-0.6166666666666667</v>
      </c>
      <c r="AA36" s="24">
        <v>-0.95000000000000018</v>
      </c>
      <c r="AB36" s="24">
        <v>2.5</v>
      </c>
      <c r="AC36" s="24">
        <v>4.3</v>
      </c>
      <c r="AD36" s="24">
        <v>0</v>
      </c>
      <c r="AE36" s="24">
        <v>0</v>
      </c>
      <c r="AF36" s="24">
        <v>0</v>
      </c>
      <c r="AG36" s="24">
        <v>-3.9166666666666665</v>
      </c>
      <c r="AH36" s="24">
        <v>-24.40208333333333</v>
      </c>
    </row>
    <row r="37" spans="1:34">
      <c r="A37" s="31"/>
      <c r="B37" s="23" t="s">
        <v>93</v>
      </c>
      <c r="C37" s="26">
        <v>0</v>
      </c>
      <c r="D37" s="26">
        <v>0</v>
      </c>
      <c r="E37" s="26">
        <v>1</v>
      </c>
      <c r="F37" s="26">
        <v>1</v>
      </c>
      <c r="G37" s="26">
        <v>0.61309523809523814</v>
      </c>
      <c r="H37" s="26">
        <v>0.73992673992673996</v>
      </c>
      <c r="I37" s="26">
        <v>0</v>
      </c>
      <c r="J37" s="26">
        <v>0</v>
      </c>
      <c r="K37" s="26">
        <v>0</v>
      </c>
      <c r="L37" s="26">
        <v>1</v>
      </c>
      <c r="M37" s="26">
        <v>0.48412698412698418</v>
      </c>
      <c r="N37" s="26">
        <v>7.7380952380952384E-2</v>
      </c>
      <c r="O37" s="26">
        <v>0</v>
      </c>
      <c r="P37" s="26">
        <v>0</v>
      </c>
      <c r="Q37" s="26">
        <v>0</v>
      </c>
      <c r="R37" s="26">
        <v>0</v>
      </c>
      <c r="S37" s="26">
        <v>1</v>
      </c>
      <c r="T37" s="26">
        <v>1</v>
      </c>
      <c r="U37" s="26">
        <v>0.23809523809523814</v>
      </c>
      <c r="V37" s="26">
        <v>0.37362637362637369</v>
      </c>
      <c r="W37" s="26">
        <v>0</v>
      </c>
      <c r="X37" s="26">
        <v>0</v>
      </c>
      <c r="Y37" s="26">
        <v>0</v>
      </c>
      <c r="Z37" s="26">
        <v>1</v>
      </c>
      <c r="AA37" s="26">
        <v>1</v>
      </c>
      <c r="AB37" s="26">
        <v>0.10714285714285715</v>
      </c>
      <c r="AC37" s="26">
        <v>5.4945054945054944E-2</v>
      </c>
      <c r="AD37" s="26">
        <v>0</v>
      </c>
      <c r="AE37" s="26">
        <v>0</v>
      </c>
      <c r="AF37" s="26">
        <v>0</v>
      </c>
      <c r="AG37" s="26">
        <v>0</v>
      </c>
      <c r="AH37" s="26">
        <v>1</v>
      </c>
    </row>
    <row r="41" spans="1:34">
      <c r="B41" s="8" t="s">
        <v>93</v>
      </c>
      <c r="C41" s="21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</row>
  </sheetData>
  <mergeCells count="6">
    <mergeCell ref="A32:A37"/>
    <mergeCell ref="A2:A7"/>
    <mergeCell ref="A8:A13"/>
    <mergeCell ref="A14:A19"/>
    <mergeCell ref="A20:A25"/>
    <mergeCell ref="A26:A3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2:E17"/>
  <sheetViews>
    <sheetView workbookViewId="0">
      <selection activeCell="M3" sqref="M3"/>
    </sheetView>
  </sheetViews>
  <sheetFormatPr baseColWidth="10" defaultRowHeight="14.25"/>
  <cols>
    <col min="5" max="5" width="18.875" customWidth="1"/>
  </cols>
  <sheetData>
    <row r="2" spans="1:5" ht="30">
      <c r="A2" s="9" t="s">
        <v>77</v>
      </c>
      <c r="B2" s="8"/>
      <c r="C2" s="8"/>
      <c r="D2" s="8"/>
    </row>
    <row r="5" spans="1:5" ht="17.25">
      <c r="A5" s="4" t="s">
        <v>75</v>
      </c>
    </row>
    <row r="6" spans="1:5">
      <c r="A6" s="3"/>
    </row>
    <row r="7" spans="1:5" ht="17.25">
      <c r="A7" s="4" t="s">
        <v>62</v>
      </c>
    </row>
    <row r="8" spans="1:5" ht="17.25">
      <c r="A8" s="19" t="s">
        <v>76</v>
      </c>
    </row>
    <row r="9" spans="1:5" ht="17.25">
      <c r="A9" s="19" t="s">
        <v>64</v>
      </c>
    </row>
    <row r="10" spans="1:5" ht="17.25">
      <c r="A10" s="19" t="s">
        <v>65</v>
      </c>
    </row>
    <row r="14" spans="1:5" ht="15">
      <c r="C14" s="17" t="s">
        <v>1</v>
      </c>
      <c r="D14" s="17" t="s">
        <v>8</v>
      </c>
      <c r="E14" s="17" t="s">
        <v>79</v>
      </c>
    </row>
    <row r="15" spans="1:5" ht="15">
      <c r="C15" s="11" t="s">
        <v>25</v>
      </c>
      <c r="D15" s="11">
        <v>2023</v>
      </c>
      <c r="E15" s="15"/>
    </row>
    <row r="16" spans="1:5" ht="15">
      <c r="C16" s="11" t="s">
        <v>18</v>
      </c>
      <c r="D16" s="11">
        <v>2024</v>
      </c>
      <c r="E16" s="15"/>
    </row>
    <row r="17" spans="3:5" ht="15">
      <c r="C17" s="11" t="s">
        <v>34</v>
      </c>
      <c r="D17" s="11">
        <v>2025</v>
      </c>
      <c r="E17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2:G16"/>
  <sheetViews>
    <sheetView workbookViewId="0">
      <selection activeCell="N26" sqref="N26"/>
    </sheetView>
  </sheetViews>
  <sheetFormatPr baseColWidth="10" defaultRowHeight="14.25"/>
  <sheetData>
    <row r="2" spans="1:7" ht="30">
      <c r="A2" s="9" t="s">
        <v>78</v>
      </c>
      <c r="B2" s="8"/>
      <c r="C2" s="8"/>
      <c r="D2" s="8"/>
    </row>
    <row r="5" spans="1:7" ht="17.25">
      <c r="A5" s="4" t="s">
        <v>80</v>
      </c>
    </row>
    <row r="6" spans="1:7">
      <c r="A6" s="3"/>
    </row>
    <row r="7" spans="1:7" ht="17.25">
      <c r="A7" s="4" t="s">
        <v>62</v>
      </c>
    </row>
    <row r="8" spans="1:7" ht="17.25">
      <c r="A8" s="19" t="s">
        <v>81</v>
      </c>
    </row>
    <row r="9" spans="1:7" ht="17.25">
      <c r="A9" s="19" t="s">
        <v>64</v>
      </c>
    </row>
    <row r="10" spans="1:7" ht="17.25">
      <c r="A10" s="19" t="s">
        <v>65</v>
      </c>
    </row>
    <row r="13" spans="1:7" ht="30">
      <c r="E13" s="17" t="s">
        <v>1</v>
      </c>
      <c r="F13" s="17" t="s">
        <v>8</v>
      </c>
      <c r="G13" s="17" t="s">
        <v>82</v>
      </c>
    </row>
    <row r="14" spans="1:7" ht="15">
      <c r="E14" s="11" t="s">
        <v>38</v>
      </c>
      <c r="F14" s="11">
        <v>2025</v>
      </c>
      <c r="G14" s="12"/>
    </row>
    <row r="15" spans="1:7" ht="15">
      <c r="E15" s="11" t="s">
        <v>18</v>
      </c>
      <c r="F15" s="11">
        <v>2023</v>
      </c>
      <c r="G15" s="12"/>
    </row>
    <row r="16" spans="1:7" ht="15">
      <c r="E16" s="11" t="s">
        <v>25</v>
      </c>
      <c r="F16" s="11">
        <v>2024</v>
      </c>
      <c r="G16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workbookViewId="0">
      <selection sqref="A1:XFD1048576"/>
    </sheetView>
  </sheetViews>
  <sheetFormatPr baseColWidth="10" defaultRowHeight="14.25"/>
  <cols>
    <col min="3" max="3" width="19.875" customWidth="1"/>
    <col min="4" max="4" width="23.375" customWidth="1"/>
    <col min="5" max="5" width="23.875" customWidth="1"/>
  </cols>
  <sheetData>
    <row r="2" spans="1:7" ht="30">
      <c r="A2" s="9" t="s">
        <v>164</v>
      </c>
      <c r="B2" s="9"/>
      <c r="C2" s="9"/>
      <c r="D2" s="8"/>
    </row>
    <row r="7" spans="1:7" ht="15">
      <c r="A7" s="16" t="s">
        <v>99</v>
      </c>
      <c r="B7" s="16" t="s">
        <v>100</v>
      </c>
      <c r="C7" s="16" t="s">
        <v>8</v>
      </c>
      <c r="D7" s="16" t="s">
        <v>101</v>
      </c>
      <c r="E7" s="16" t="s">
        <v>161</v>
      </c>
      <c r="F7" s="16" t="s">
        <v>162</v>
      </c>
      <c r="G7" s="16" t="s">
        <v>163</v>
      </c>
    </row>
    <row r="8" spans="1:7">
      <c r="A8" s="10" t="s">
        <v>102</v>
      </c>
      <c r="B8" s="10" t="s">
        <v>103</v>
      </c>
      <c r="C8" s="10">
        <v>2021</v>
      </c>
      <c r="D8" s="10" t="s">
        <v>151</v>
      </c>
      <c r="E8" s="10" t="b">
        <f>_xlfn.XOR(LEN(Tabla1[[#This Row],[Patente]])=7,ISNUMBER(VALUE(MID(Tabla1[[#This Row],[Patente]],3,3))))</f>
        <v>1</v>
      </c>
      <c r="F8" s="10" t="b">
        <f>AND(LEN(Tabla1[[#This Row],[Patente]])=7,ISNUMBER(VALUE(MID(Tabla1[[#This Row],[Patente]],3,3))))</f>
        <v>0</v>
      </c>
      <c r="G8" s="10" t="b">
        <f>OR(LEN(Tabla1[[#This Row],[Patente]])=7,ISNUMBER(VALUE(MID(Tabla1[[#This Row],[Patente]],3,3))))</f>
        <v>1</v>
      </c>
    </row>
    <row r="9" spans="1:7">
      <c r="A9" s="10" t="s">
        <v>104</v>
      </c>
      <c r="B9" s="10" t="s">
        <v>105</v>
      </c>
      <c r="C9" s="10">
        <v>2019</v>
      </c>
      <c r="D9" s="10" t="s">
        <v>157</v>
      </c>
      <c r="E9" s="10" t="b">
        <f>_xlfn.XOR(LEN(Tabla1[[#This Row],[Patente]])=7,ISNUMBER(VALUE(MID(Tabla1[[#This Row],[Patente]],3,3))))</f>
        <v>1</v>
      </c>
      <c r="F9" s="10" t="b">
        <f>AND(LEN(Tabla1[[#This Row],[Patente]])=7,ISNUMBER(VALUE(MID(Tabla1[[#This Row],[Patente]],3,3))))</f>
        <v>0</v>
      </c>
      <c r="G9" s="10" t="b">
        <f>OR(LEN(Tabla1[[#This Row],[Patente]])=7,ISNUMBER(VALUE(MID(Tabla1[[#This Row],[Patente]],3,3))))</f>
        <v>1</v>
      </c>
    </row>
    <row r="10" spans="1:7">
      <c r="A10" s="10" t="s">
        <v>106</v>
      </c>
      <c r="B10" s="10" t="s">
        <v>107</v>
      </c>
      <c r="C10" s="10">
        <v>2020</v>
      </c>
      <c r="D10" s="10" t="s">
        <v>108</v>
      </c>
      <c r="E10" s="10" t="b">
        <f>_xlfn.XOR(LEN(Tabla1[[#This Row],[Patente]])=7,ISNUMBER(VALUE(MID(Tabla1[[#This Row],[Patente]],3,3))))</f>
        <v>0</v>
      </c>
      <c r="F10" s="10" t="b">
        <f>AND(LEN(Tabla1[[#This Row],[Patente]])=7,ISNUMBER(VALUE(MID(Tabla1[[#This Row],[Patente]],3,3))))</f>
        <v>1</v>
      </c>
      <c r="G10" s="10" t="b">
        <f>OR(LEN(Tabla1[[#This Row],[Patente]])=7,ISNUMBER(VALUE(MID(Tabla1[[#This Row],[Patente]],3,3))))</f>
        <v>1</v>
      </c>
    </row>
    <row r="11" spans="1:7">
      <c r="A11" s="10" t="s">
        <v>109</v>
      </c>
      <c r="B11" s="10" t="s">
        <v>110</v>
      </c>
      <c r="C11" s="10">
        <v>2022</v>
      </c>
      <c r="D11" s="10" t="s">
        <v>111</v>
      </c>
      <c r="E11" s="10" t="b">
        <f>_xlfn.XOR(LEN(Tabla1[[#This Row],[Patente]])=7,ISNUMBER(VALUE(MID(Tabla1[[#This Row],[Patente]],3,3))))</f>
        <v>0</v>
      </c>
      <c r="F11" s="10" t="b">
        <f>AND(LEN(Tabla1[[#This Row],[Patente]])=7,ISNUMBER(VALUE(MID(Tabla1[[#This Row],[Patente]],3,3))))</f>
        <v>1</v>
      </c>
      <c r="G11" s="10" t="b">
        <f>OR(LEN(Tabla1[[#This Row],[Patente]])=7,ISNUMBER(VALUE(MID(Tabla1[[#This Row],[Patente]],3,3))))</f>
        <v>1</v>
      </c>
    </row>
    <row r="12" spans="1:7">
      <c r="A12" s="10" t="s">
        <v>112</v>
      </c>
      <c r="B12" s="10" t="s">
        <v>113</v>
      </c>
      <c r="C12" s="10">
        <v>2018</v>
      </c>
      <c r="D12" s="10" t="s">
        <v>152</v>
      </c>
      <c r="E12" s="10" t="b">
        <f>_xlfn.XOR(LEN(Tabla1[[#This Row],[Patente]])=7,ISNUMBER(VALUE(MID(Tabla1[[#This Row],[Patente]],3,3))))</f>
        <v>0</v>
      </c>
      <c r="F12" s="10" t="b">
        <f>AND(LEN(Tabla1[[#This Row],[Patente]])=7,ISNUMBER(VALUE(MID(Tabla1[[#This Row],[Patente]],3,3))))</f>
        <v>1</v>
      </c>
      <c r="G12" s="10" t="b">
        <f>OR(LEN(Tabla1[[#This Row],[Patente]])=7,ISNUMBER(VALUE(MID(Tabla1[[#This Row],[Patente]],3,3))))</f>
        <v>1</v>
      </c>
    </row>
    <row r="13" spans="1:7">
      <c r="A13" s="10" t="s">
        <v>114</v>
      </c>
      <c r="B13" s="10">
        <v>208</v>
      </c>
      <c r="C13" s="10">
        <v>2023</v>
      </c>
      <c r="D13" s="10" t="s">
        <v>158</v>
      </c>
      <c r="E13" s="10" t="b">
        <f>_xlfn.XOR(LEN(Tabla1[[#This Row],[Patente]])=7,ISNUMBER(VALUE(MID(Tabla1[[#This Row],[Patente]],3,3))))</f>
        <v>1</v>
      </c>
      <c r="F13" s="10" t="b">
        <f>AND(LEN(Tabla1[[#This Row],[Patente]])=7,ISNUMBER(VALUE(MID(Tabla1[[#This Row],[Patente]],3,3))))</f>
        <v>0</v>
      </c>
      <c r="G13" s="10" t="b">
        <f>OR(LEN(Tabla1[[#This Row],[Patente]])=7,ISNUMBER(VALUE(MID(Tabla1[[#This Row],[Patente]],3,3))))</f>
        <v>1</v>
      </c>
    </row>
    <row r="14" spans="1:7">
      <c r="A14" s="10" t="s">
        <v>115</v>
      </c>
      <c r="B14" s="10" t="s">
        <v>116</v>
      </c>
      <c r="C14" s="10">
        <v>2017</v>
      </c>
      <c r="D14" s="10" t="s">
        <v>153</v>
      </c>
      <c r="E14" s="10" t="b">
        <f>_xlfn.XOR(LEN(Tabla1[[#This Row],[Patente]])=7,ISNUMBER(VALUE(MID(Tabla1[[#This Row],[Patente]],3,3))))</f>
        <v>1</v>
      </c>
      <c r="F14" s="10" t="b">
        <f>AND(LEN(Tabla1[[#This Row],[Patente]])=7,ISNUMBER(VALUE(MID(Tabla1[[#This Row],[Patente]],3,3))))</f>
        <v>0</v>
      </c>
      <c r="G14" s="10" t="b">
        <f>OR(LEN(Tabla1[[#This Row],[Patente]])=7,ISNUMBER(VALUE(MID(Tabla1[[#This Row],[Patente]],3,3))))</f>
        <v>1</v>
      </c>
    </row>
    <row r="15" spans="1:7">
      <c r="A15" s="10" t="s">
        <v>117</v>
      </c>
      <c r="B15" s="10" t="s">
        <v>118</v>
      </c>
      <c r="C15" s="10">
        <v>2021</v>
      </c>
      <c r="D15" s="10" t="s">
        <v>119</v>
      </c>
      <c r="E15" s="10" t="b">
        <f>_xlfn.XOR(LEN(Tabla1[[#This Row],[Patente]])=7,ISNUMBER(VALUE(MID(Tabla1[[#This Row],[Patente]],3,3))))</f>
        <v>0</v>
      </c>
      <c r="F15" s="10" t="b">
        <f>AND(LEN(Tabla1[[#This Row],[Patente]])=7,ISNUMBER(VALUE(MID(Tabla1[[#This Row],[Patente]],3,3))))</f>
        <v>1</v>
      </c>
      <c r="G15" s="10" t="b">
        <f>OR(LEN(Tabla1[[#This Row],[Patente]])=7,ISNUMBER(VALUE(MID(Tabla1[[#This Row],[Patente]],3,3))))</f>
        <v>1</v>
      </c>
    </row>
    <row r="16" spans="1:7">
      <c r="A16" s="10" t="s">
        <v>120</v>
      </c>
      <c r="B16" s="10" t="s">
        <v>121</v>
      </c>
      <c r="C16" s="10">
        <v>2022</v>
      </c>
      <c r="D16" s="10" t="s">
        <v>156</v>
      </c>
      <c r="E16" s="10" t="b">
        <f>_xlfn.XOR(LEN(Tabla1[[#This Row],[Patente]])=7,ISNUMBER(VALUE(MID(Tabla1[[#This Row],[Patente]],3,3))))</f>
        <v>0</v>
      </c>
      <c r="F16" s="10" t="b">
        <f>AND(LEN(Tabla1[[#This Row],[Patente]])=7,ISNUMBER(VALUE(MID(Tabla1[[#This Row],[Patente]],3,3))))</f>
        <v>1</v>
      </c>
      <c r="G16" s="10" t="b">
        <f>OR(LEN(Tabla1[[#This Row],[Patente]])=7,ISNUMBER(VALUE(MID(Tabla1[[#This Row],[Patente]],3,3))))</f>
        <v>1</v>
      </c>
    </row>
    <row r="17" spans="1:7">
      <c r="A17" s="10" t="s">
        <v>122</v>
      </c>
      <c r="B17" s="10" t="s">
        <v>123</v>
      </c>
      <c r="C17" s="10">
        <v>2019</v>
      </c>
      <c r="D17" s="10" t="s">
        <v>154</v>
      </c>
      <c r="E17" s="10" t="b">
        <f>_xlfn.XOR(LEN(Tabla1[[#This Row],[Patente]])=7,ISNUMBER(VALUE(MID(Tabla1[[#This Row],[Patente]],3,3))))</f>
        <v>1</v>
      </c>
      <c r="F17" s="10" t="b">
        <f>AND(LEN(Tabla1[[#This Row],[Patente]])=7,ISNUMBER(VALUE(MID(Tabla1[[#This Row],[Patente]],3,3))))</f>
        <v>0</v>
      </c>
      <c r="G17" s="10" t="b">
        <f>OR(LEN(Tabla1[[#This Row],[Patente]])=7,ISNUMBER(VALUE(MID(Tabla1[[#This Row],[Patente]],3,3))))</f>
        <v>1</v>
      </c>
    </row>
    <row r="18" spans="1:7">
      <c r="A18" s="10" t="s">
        <v>124</v>
      </c>
      <c r="B18" s="10" t="s">
        <v>125</v>
      </c>
      <c r="C18" s="10">
        <v>2020</v>
      </c>
      <c r="D18" s="10" t="s">
        <v>159</v>
      </c>
      <c r="E18" s="10" t="b">
        <f>_xlfn.XOR(LEN(Tabla1[[#This Row],[Patente]])=7,ISNUMBER(VALUE(MID(Tabla1[[#This Row],[Patente]],3,3))))</f>
        <v>1</v>
      </c>
      <c r="F18" s="10" t="b">
        <f>AND(LEN(Tabla1[[#This Row],[Patente]])=7,ISNUMBER(VALUE(MID(Tabla1[[#This Row],[Patente]],3,3))))</f>
        <v>0</v>
      </c>
      <c r="G18" s="10" t="b">
        <f>OR(LEN(Tabla1[[#This Row],[Patente]])=7,ISNUMBER(VALUE(MID(Tabla1[[#This Row],[Patente]],3,3))))</f>
        <v>1</v>
      </c>
    </row>
    <row r="19" spans="1:7">
      <c r="A19" s="10" t="s">
        <v>126</v>
      </c>
      <c r="B19" s="10" t="s">
        <v>127</v>
      </c>
      <c r="C19" s="10">
        <v>2021</v>
      </c>
      <c r="D19" s="10" t="s">
        <v>128</v>
      </c>
      <c r="E19" s="10" t="b">
        <f>_xlfn.XOR(LEN(Tabla1[[#This Row],[Patente]])=7,ISNUMBER(VALUE(MID(Tabla1[[#This Row],[Patente]],3,3))))</f>
        <v>0</v>
      </c>
      <c r="F19" s="10" t="b">
        <f>AND(LEN(Tabla1[[#This Row],[Patente]])=7,ISNUMBER(VALUE(MID(Tabla1[[#This Row],[Patente]],3,3))))</f>
        <v>1</v>
      </c>
      <c r="G19" s="10" t="b">
        <f>OR(LEN(Tabla1[[#This Row],[Patente]])=7,ISNUMBER(VALUE(MID(Tabla1[[#This Row],[Patente]],3,3))))</f>
        <v>1</v>
      </c>
    </row>
    <row r="20" spans="1:7">
      <c r="A20" s="10" t="s">
        <v>129</v>
      </c>
      <c r="B20" s="10" t="s">
        <v>130</v>
      </c>
      <c r="C20" s="10">
        <v>2018</v>
      </c>
      <c r="D20" s="10" t="s">
        <v>131</v>
      </c>
      <c r="E20" s="10" t="b">
        <f>_xlfn.XOR(LEN(Tabla1[[#This Row],[Patente]])=7,ISNUMBER(VALUE(MID(Tabla1[[#This Row],[Patente]],3,3))))</f>
        <v>0</v>
      </c>
      <c r="F20" s="10" t="b">
        <f>AND(LEN(Tabla1[[#This Row],[Patente]])=7,ISNUMBER(VALUE(MID(Tabla1[[#This Row],[Patente]],3,3))))</f>
        <v>1</v>
      </c>
      <c r="G20" s="10" t="b">
        <f>OR(LEN(Tabla1[[#This Row],[Patente]])=7,ISNUMBER(VALUE(MID(Tabla1[[#This Row],[Patente]],3,3))))</f>
        <v>1</v>
      </c>
    </row>
    <row r="21" spans="1:7" ht="28.5">
      <c r="A21" s="10" t="s">
        <v>132</v>
      </c>
      <c r="B21" s="10" t="s">
        <v>133</v>
      </c>
      <c r="C21" s="10">
        <v>2022</v>
      </c>
      <c r="D21" s="10" t="s">
        <v>160</v>
      </c>
      <c r="E21" s="10" t="b">
        <f>_xlfn.XOR(LEN(Tabla1[[#This Row],[Patente]])=7,ISNUMBER(VALUE(MID(Tabla1[[#This Row],[Patente]],3,3))))</f>
        <v>1</v>
      </c>
      <c r="F21" s="10" t="b">
        <f>AND(LEN(Tabla1[[#This Row],[Patente]])=7,ISNUMBER(VALUE(MID(Tabla1[[#This Row],[Patente]],3,3))))</f>
        <v>0</v>
      </c>
      <c r="G21" s="10" t="b">
        <f>OR(LEN(Tabla1[[#This Row],[Patente]])=7,ISNUMBER(VALUE(MID(Tabla1[[#This Row],[Patente]],3,3))))</f>
        <v>1</v>
      </c>
    </row>
    <row r="22" spans="1:7">
      <c r="A22" s="10" t="s">
        <v>134</v>
      </c>
      <c r="B22" s="10" t="s">
        <v>135</v>
      </c>
      <c r="C22" s="10">
        <v>2023</v>
      </c>
      <c r="D22" s="10" t="s">
        <v>136</v>
      </c>
      <c r="E22" s="10" t="b">
        <f>_xlfn.XOR(LEN(Tabla1[[#This Row],[Patente]])=7,ISNUMBER(VALUE(MID(Tabla1[[#This Row],[Patente]],3,3))))</f>
        <v>0</v>
      </c>
      <c r="F22" s="10" t="b">
        <f>AND(LEN(Tabla1[[#This Row],[Patente]])=7,ISNUMBER(VALUE(MID(Tabla1[[#This Row],[Patente]],3,3))))</f>
        <v>1</v>
      </c>
      <c r="G22" s="10" t="b">
        <f>OR(LEN(Tabla1[[#This Row],[Patente]])=7,ISNUMBER(VALUE(MID(Tabla1[[#This Row],[Patente]],3,3))))</f>
        <v>1</v>
      </c>
    </row>
    <row r="23" spans="1:7">
      <c r="A23" s="10" t="s">
        <v>137</v>
      </c>
      <c r="B23" s="10" t="s">
        <v>138</v>
      </c>
      <c r="C23" s="10">
        <v>2020</v>
      </c>
      <c r="D23" s="10" t="s">
        <v>139</v>
      </c>
      <c r="E23" s="10" t="b">
        <f>_xlfn.XOR(LEN(Tabla1[[#This Row],[Patente]])=7,ISNUMBER(VALUE(MID(Tabla1[[#This Row],[Patente]],3,3))))</f>
        <v>0</v>
      </c>
      <c r="F23" s="10" t="b">
        <f>AND(LEN(Tabla1[[#This Row],[Patente]])=7,ISNUMBER(VALUE(MID(Tabla1[[#This Row],[Patente]],3,3))))</f>
        <v>1</v>
      </c>
      <c r="G23" s="10" t="b">
        <f>OR(LEN(Tabla1[[#This Row],[Patente]])=7,ISNUMBER(VALUE(MID(Tabla1[[#This Row],[Patente]],3,3))))</f>
        <v>1</v>
      </c>
    </row>
    <row r="24" spans="1:7">
      <c r="A24" s="10" t="s">
        <v>140</v>
      </c>
      <c r="B24" s="10" t="s">
        <v>141</v>
      </c>
      <c r="C24" s="10">
        <v>2021</v>
      </c>
      <c r="D24" s="10" t="s">
        <v>155</v>
      </c>
      <c r="E24" s="10" t="b">
        <f>_xlfn.XOR(LEN(Tabla1[[#This Row],[Patente]])=7,ISNUMBER(VALUE(MID(Tabla1[[#This Row],[Patente]],3,3))))</f>
        <v>1</v>
      </c>
      <c r="F24" s="10" t="b">
        <f>AND(LEN(Tabla1[[#This Row],[Patente]])=7,ISNUMBER(VALUE(MID(Tabla1[[#This Row],[Patente]],3,3))))</f>
        <v>0</v>
      </c>
      <c r="G24" s="10" t="b">
        <f>OR(LEN(Tabla1[[#This Row],[Patente]])=7,ISNUMBER(VALUE(MID(Tabla1[[#This Row],[Patente]],3,3))))</f>
        <v>1</v>
      </c>
    </row>
    <row r="25" spans="1:7">
      <c r="A25" s="10" t="s">
        <v>142</v>
      </c>
      <c r="B25" s="10" t="s">
        <v>143</v>
      </c>
      <c r="C25" s="10">
        <v>2019</v>
      </c>
      <c r="D25" s="10" t="s">
        <v>144</v>
      </c>
      <c r="E25" s="10" t="b">
        <f>_xlfn.XOR(LEN(Tabla1[[#This Row],[Patente]])=7,ISNUMBER(VALUE(MID(Tabla1[[#This Row],[Patente]],3,3))))</f>
        <v>0</v>
      </c>
      <c r="F25" s="10" t="b">
        <f>AND(LEN(Tabla1[[#This Row],[Patente]])=7,ISNUMBER(VALUE(MID(Tabla1[[#This Row],[Patente]],3,3))))</f>
        <v>1</v>
      </c>
      <c r="G25" s="10" t="b">
        <f>OR(LEN(Tabla1[[#This Row],[Patente]])=7,ISNUMBER(VALUE(MID(Tabla1[[#This Row],[Patente]],3,3))))</f>
        <v>1</v>
      </c>
    </row>
    <row r="26" spans="1:7">
      <c r="A26" s="10" t="s">
        <v>145</v>
      </c>
      <c r="B26" s="10" t="s">
        <v>146</v>
      </c>
      <c r="C26" s="10">
        <v>2018</v>
      </c>
      <c r="D26" s="10" t="s">
        <v>147</v>
      </c>
      <c r="E26" s="10" t="b">
        <f>_xlfn.XOR(LEN(Tabla1[[#This Row],[Patente]])=7,ISNUMBER(VALUE(MID(Tabla1[[#This Row],[Patente]],3,3))))</f>
        <v>0</v>
      </c>
      <c r="F26" s="10" t="b">
        <f>AND(LEN(Tabla1[[#This Row],[Patente]])=7,ISNUMBER(VALUE(MID(Tabla1[[#This Row],[Patente]],3,3))))</f>
        <v>1</v>
      </c>
      <c r="G26" s="10" t="b">
        <f>OR(LEN(Tabla1[[#This Row],[Patente]])=7,ISNUMBER(VALUE(MID(Tabla1[[#This Row],[Patente]],3,3))))</f>
        <v>1</v>
      </c>
    </row>
    <row r="27" spans="1:7">
      <c r="A27" s="10" t="s">
        <v>148</v>
      </c>
      <c r="B27" s="10" t="s">
        <v>149</v>
      </c>
      <c r="C27" s="10">
        <v>2022</v>
      </c>
      <c r="D27" s="10" t="s">
        <v>150</v>
      </c>
      <c r="E27" s="10" t="b">
        <f>_xlfn.XOR(LEN(Tabla1[[#This Row],[Patente]])=7,ISNUMBER(VALUE(MID(Tabla1[[#This Row],[Patente]],3,3))))</f>
        <v>0</v>
      </c>
      <c r="F27" s="10" t="b">
        <f>AND(LEN(Tabla1[[#This Row],[Patente]])=7,ISNUMBER(VALUE(MID(Tabla1[[#This Row],[Patente]],3,3))))</f>
        <v>1</v>
      </c>
      <c r="G27" s="10" t="b">
        <f>OR(LEN(Tabla1[[#This Row],[Patente]])=7,ISNUMBER(VALUE(MID(Tabla1[[#This Row],[Patente]],3,3))))</f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D6" sqref="D6"/>
    </sheetView>
  </sheetViews>
  <sheetFormatPr baseColWidth="10" defaultColWidth="9.125" defaultRowHeight="14.25"/>
  <cols>
    <col min="1" max="1" width="9.25" customWidth="1"/>
    <col min="2" max="2" width="22.5" customWidth="1"/>
    <col min="3" max="3" width="19.75" customWidth="1"/>
    <col min="4" max="4" width="23.25" customWidth="1"/>
  </cols>
  <sheetData>
    <row r="1" spans="1:4" ht="18">
      <c r="A1" s="30" t="s">
        <v>186</v>
      </c>
      <c r="B1" s="8"/>
    </row>
    <row r="3" spans="1:4" ht="15">
      <c r="A3" s="29" t="s">
        <v>185</v>
      </c>
    </row>
    <row r="5" spans="1:4" ht="15">
      <c r="A5" s="28" t="s">
        <v>184</v>
      </c>
      <c r="B5" s="28" t="s">
        <v>183</v>
      </c>
      <c r="C5" s="28" t="s">
        <v>182</v>
      </c>
      <c r="D5" s="28" t="s">
        <v>181</v>
      </c>
    </row>
    <row r="6" spans="1:4">
      <c r="A6" t="s">
        <v>83</v>
      </c>
      <c r="B6" t="b">
        <f>FALSE()</f>
        <v>0</v>
      </c>
      <c r="C6" t="b">
        <f>TRUE()</f>
        <v>1</v>
      </c>
    </row>
    <row r="7" spans="1:4">
      <c r="A7" t="s">
        <v>18</v>
      </c>
      <c r="B7" t="b">
        <f>TRUE()</f>
        <v>1</v>
      </c>
      <c r="C7" t="b">
        <f>TRUE()</f>
        <v>1</v>
      </c>
    </row>
    <row r="8" spans="1:4">
      <c r="A8" t="s">
        <v>84</v>
      </c>
      <c r="B8" t="b">
        <f>FALSE()</f>
        <v>0</v>
      </c>
      <c r="C8" t="b">
        <f>FALSE()</f>
        <v>0</v>
      </c>
    </row>
    <row r="9" spans="1:4">
      <c r="A9" t="s">
        <v>180</v>
      </c>
      <c r="B9" t="b">
        <f>FALSE()</f>
        <v>0</v>
      </c>
      <c r="C9" t="b">
        <f>FALSE()</f>
        <v>0</v>
      </c>
    </row>
    <row r="10" spans="1:4">
      <c r="A10" t="s">
        <v>179</v>
      </c>
      <c r="B10" t="b">
        <f>TRUE()</f>
        <v>1</v>
      </c>
      <c r="C10" t="b">
        <f>FALSE()</f>
        <v>0</v>
      </c>
    </row>
    <row r="11" spans="1:4">
      <c r="A11" t="s">
        <v>85</v>
      </c>
      <c r="B11" t="b">
        <f>TRUE()</f>
        <v>1</v>
      </c>
      <c r="C11" t="b">
        <f>TRUE()</f>
        <v>1</v>
      </c>
    </row>
    <row r="12" spans="1:4">
      <c r="A12" t="s">
        <v>178</v>
      </c>
      <c r="B12" t="b">
        <f>TRUE()</f>
        <v>1</v>
      </c>
      <c r="C12" t="b">
        <f>TRUE()</f>
        <v>1</v>
      </c>
    </row>
    <row r="13" spans="1:4">
      <c r="A13" t="s">
        <v>177</v>
      </c>
      <c r="B13" t="b">
        <f>FALSE()</f>
        <v>0</v>
      </c>
      <c r="C13" t="b">
        <f>TRUE()</f>
        <v>1</v>
      </c>
    </row>
    <row r="14" spans="1:4">
      <c r="A14" t="s">
        <v>176</v>
      </c>
      <c r="B14" t="b">
        <f>TRUE()</f>
        <v>1</v>
      </c>
      <c r="C14" t="b">
        <f>FALSE()</f>
        <v>0</v>
      </c>
    </row>
    <row r="15" spans="1:4">
      <c r="A15" t="s">
        <v>38</v>
      </c>
      <c r="B15" t="b">
        <f>TRUE()</f>
        <v>1</v>
      </c>
      <c r="C15" t="b">
        <f>FALSE()</f>
        <v>0</v>
      </c>
    </row>
    <row r="16" spans="1:4">
      <c r="A16" t="s">
        <v>175</v>
      </c>
      <c r="B16" t="b">
        <f>FALSE()</f>
        <v>0</v>
      </c>
      <c r="C16" t="b">
        <f>FALSE()</f>
        <v>0</v>
      </c>
    </row>
    <row r="17" spans="1:4">
      <c r="A17" t="s">
        <v>174</v>
      </c>
      <c r="B17" t="b">
        <f>FALSE()</f>
        <v>0</v>
      </c>
      <c r="C17" t="b">
        <f>TRUE()</f>
        <v>1</v>
      </c>
    </row>
    <row r="18" spans="1:4">
      <c r="A18" t="s">
        <v>173</v>
      </c>
      <c r="B18" t="b">
        <f>TRUE()</f>
        <v>1</v>
      </c>
      <c r="C18" t="b">
        <f>TRUE()</f>
        <v>1</v>
      </c>
    </row>
    <row r="19" spans="1:4">
      <c r="A19" t="s">
        <v>172</v>
      </c>
      <c r="B19" t="b">
        <f>FALSE()</f>
        <v>0</v>
      </c>
      <c r="C19" t="b">
        <f>FALSE()</f>
        <v>0</v>
      </c>
    </row>
    <row r="20" spans="1:4">
      <c r="A20" t="s">
        <v>171</v>
      </c>
      <c r="B20" t="b">
        <f>FALSE()</f>
        <v>0</v>
      </c>
      <c r="C20" t="b">
        <f>TRUE()</f>
        <v>1</v>
      </c>
    </row>
    <row r="21" spans="1:4">
      <c r="A21" t="s">
        <v>170</v>
      </c>
      <c r="B21" t="b">
        <f>FALSE()</f>
        <v>0</v>
      </c>
      <c r="C21" t="b">
        <f>FALSE()</f>
        <v>0</v>
      </c>
    </row>
    <row r="22" spans="1:4">
      <c r="A22" t="s">
        <v>169</v>
      </c>
      <c r="B22" t="b">
        <f>TRUE()</f>
        <v>1</v>
      </c>
      <c r="C22" t="b">
        <f>TRUE()</f>
        <v>1</v>
      </c>
    </row>
    <row r="23" spans="1:4">
      <c r="A23" t="s">
        <v>168</v>
      </c>
      <c r="B23" t="b">
        <f>TRUE()</f>
        <v>1</v>
      </c>
      <c r="C23" t="b">
        <f>TRUE()</f>
        <v>1</v>
      </c>
    </row>
    <row r="24" spans="1:4">
      <c r="A24" t="s">
        <v>167</v>
      </c>
      <c r="B24" t="b">
        <f>FALSE()</f>
        <v>0</v>
      </c>
      <c r="C24" t="b">
        <f>FALSE()</f>
        <v>0</v>
      </c>
    </row>
    <row r="25" spans="1:4">
      <c r="A25" t="s">
        <v>166</v>
      </c>
      <c r="B25" t="b">
        <f>TRUE()</f>
        <v>1</v>
      </c>
      <c r="C25" t="b">
        <f>TRUE()</f>
        <v>1</v>
      </c>
    </row>
    <row r="29" spans="1:4">
      <c r="B29" s="32" t="s">
        <v>165</v>
      </c>
      <c r="C29" s="33"/>
      <c r="D29" s="34"/>
    </row>
    <row r="30" spans="1:4">
      <c r="B30" s="35"/>
      <c r="C30" s="36"/>
      <c r="D30" s="37"/>
    </row>
  </sheetData>
  <mergeCells count="1">
    <mergeCell ref="B29:D30"/>
  </mergeCells>
  <pageMargins left="0.7" right="0.7" top="0.75" bottom="0.75" header="0.3" footer="0.3"/>
  <ignoredErrors>
    <ignoredError sqref="B7 B13 B18 B24:C24 C21 C19" 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BASE</vt:lpstr>
      <vt:lpstr>CONTAR.SI</vt:lpstr>
      <vt:lpstr>SUMAR.SI</vt:lpstr>
      <vt:lpstr>PROMEDIO SI </vt:lpstr>
      <vt:lpstr>CONTAR.SI.CONJUNTO</vt:lpstr>
      <vt:lpstr>SUMAR SI CONJUNTO </vt:lpstr>
      <vt:lpstr>PROMEDIO.SI.CONJUNTO</vt:lpstr>
      <vt:lpstr>Promedio.si.conjunto2</vt:lpstr>
      <vt:lpstr>MAX.SI.CONJUNTO</vt:lpstr>
      <vt:lpstr>MIN.SI.CONJUNTO</vt:lpstr>
      <vt:lpstr>FUNCION XO</vt:lpstr>
      <vt:lpstr>Funcion NO con 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Calarco</dc:creator>
  <cp:lastModifiedBy>Hernan Vladimirsky</cp:lastModifiedBy>
  <dcterms:created xsi:type="dcterms:W3CDTF">2025-06-28T21:53:25Z</dcterms:created>
  <dcterms:modified xsi:type="dcterms:W3CDTF">2026-06-27T12:32:12Z</dcterms:modified>
</cp:coreProperties>
</file>