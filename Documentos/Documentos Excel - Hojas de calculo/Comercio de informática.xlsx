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i unidad\La pagina web de Hernan\Documentos\Documentos Excel - Hojas de calculo\"/>
    </mc:Choice>
  </mc:AlternateContent>
  <bookViews>
    <workbookView xWindow="0" yWindow="0" windowWidth="28800" windowHeight="12435"/>
  </bookViews>
  <sheets>
    <sheet name="Datos Ventas" sheetId="2" r:id="rId1"/>
  </sheets>
  <calcPr calcId="152511"/>
</workbook>
</file>

<file path=xl/calcChain.xml><?xml version="1.0" encoding="utf-8"?>
<calcChain xmlns="http://schemas.openxmlformats.org/spreadsheetml/2006/main">
  <c r="I28" i="2" l="1"/>
  <c r="K27" i="2"/>
  <c r="M27" i="2" s="1"/>
  <c r="K26" i="2"/>
  <c r="M26" i="2" s="1"/>
  <c r="K25" i="2"/>
  <c r="M25" i="2" s="1"/>
  <c r="M24" i="2"/>
  <c r="K24" i="2"/>
  <c r="K23" i="2"/>
  <c r="M23" i="2" s="1"/>
  <c r="K22" i="2"/>
  <c r="M22" i="2" s="1"/>
  <c r="K21" i="2"/>
  <c r="M21" i="2" s="1"/>
  <c r="K20" i="2"/>
  <c r="M20" i="2" s="1"/>
  <c r="K19" i="2"/>
  <c r="M19" i="2" s="1"/>
  <c r="M18" i="2"/>
  <c r="K18" i="2"/>
  <c r="K17" i="2"/>
  <c r="M17" i="2" s="1"/>
  <c r="K16" i="2"/>
  <c r="M16" i="2" s="1"/>
  <c r="K15" i="2"/>
  <c r="M15" i="2" s="1"/>
  <c r="M14" i="2"/>
  <c r="K14" i="2"/>
  <c r="K13" i="2"/>
  <c r="M13" i="2" s="1"/>
  <c r="K12" i="2"/>
  <c r="M12" i="2" s="1"/>
  <c r="K11" i="2"/>
  <c r="M11" i="2" s="1"/>
  <c r="K10" i="2"/>
  <c r="M10" i="2" s="1"/>
  <c r="K9" i="2"/>
  <c r="M9" i="2" s="1"/>
  <c r="M8" i="2"/>
  <c r="K8" i="2"/>
  <c r="K7" i="2"/>
  <c r="M7" i="2" s="1"/>
  <c r="K6" i="2"/>
  <c r="M6" i="2" s="1"/>
  <c r="K5" i="2"/>
  <c r="M5" i="2" s="1"/>
  <c r="M4" i="2"/>
  <c r="K4" i="2"/>
  <c r="K3" i="2"/>
  <c r="M3" i="2" s="1"/>
  <c r="M28" i="2" l="1"/>
</calcChain>
</file>

<file path=xl/sharedStrings.xml><?xml version="1.0" encoding="utf-8"?>
<sst xmlns="http://schemas.openxmlformats.org/spreadsheetml/2006/main" count="260" uniqueCount="126">
  <si>
    <t>1. Ordenar Datos</t>
  </si>
  <si>
    <t>Filtrar para mostrar únicamente las ventas de la región 'Norte' o productos de la categoría 'Tecnología' con estado 'Entregado'.</t>
  </si>
  <si>
    <t>3. Formato Condicional</t>
  </si>
  <si>
    <t>Aplicar una regla para resaltar en rojo claro los estados 'Pendiente' o colorear en verde las ventas que superen los $500.</t>
  </si>
  <si>
    <t>4. Herramienta Subtotales</t>
  </si>
  <si>
    <t>ID Factura</t>
  </si>
  <si>
    <t>Fecha</t>
  </si>
  <si>
    <t>Cliente</t>
  </si>
  <si>
    <t>Tipo Cliente</t>
  </si>
  <si>
    <t>Región</t>
  </si>
  <si>
    <t>Vendedor</t>
  </si>
  <si>
    <t>Categoría</t>
  </si>
  <si>
    <t>Producto</t>
  </si>
  <si>
    <t>Cantidad</t>
  </si>
  <si>
    <t>Precio Unitario</t>
  </si>
  <si>
    <t>Total Bruto</t>
  </si>
  <si>
    <t>Descuento %</t>
  </si>
  <si>
    <t>Total Neto</t>
  </si>
  <si>
    <t>Estado</t>
  </si>
  <si>
    <t>FAC-1001</t>
  </si>
  <si>
    <t>2026-01-05</t>
  </si>
  <si>
    <t>Alfa S.A.</t>
  </si>
  <si>
    <t>Corporativo</t>
  </si>
  <si>
    <t>Norte</t>
  </si>
  <si>
    <t>Carlos Gómez</t>
  </si>
  <si>
    <t>Tecnología</t>
  </si>
  <si>
    <t>Monitor 24''</t>
  </si>
  <si>
    <t>Entregado</t>
  </si>
  <si>
    <t>FAC-1002</t>
  </si>
  <si>
    <t>2026-01-06</t>
  </si>
  <si>
    <t>Juan Pérez</t>
  </si>
  <si>
    <t>Minorista</t>
  </si>
  <si>
    <t>Sur</t>
  </si>
  <si>
    <t>Ana Martínez</t>
  </si>
  <si>
    <t>Mobiliario</t>
  </si>
  <si>
    <t>Silla Ergonómica</t>
  </si>
  <si>
    <t>FAC-1003</t>
  </si>
  <si>
    <t>2026-01-08</t>
  </si>
  <si>
    <t>Beta SRL</t>
  </si>
  <si>
    <t>Mayorista</t>
  </si>
  <si>
    <t>Centro</t>
  </si>
  <si>
    <t>Luis Rodríguez</t>
  </si>
  <si>
    <t>Librería</t>
  </si>
  <si>
    <t>Resmas A4 (x10)</t>
  </si>
  <si>
    <t>Pendiente</t>
  </si>
  <si>
    <t>FAC-1004</t>
  </si>
  <si>
    <t>2026-01-10</t>
  </si>
  <si>
    <t>Gama Corp</t>
  </si>
  <si>
    <t>Teclado Mecánico</t>
  </si>
  <si>
    <t>FAC-1005</t>
  </si>
  <si>
    <t>2026-01-12</t>
  </si>
  <si>
    <t>María López</t>
  </si>
  <si>
    <t>Este</t>
  </si>
  <si>
    <t>Sofía Cian</t>
  </si>
  <si>
    <t>Escritorio L</t>
  </si>
  <si>
    <t>Cancelado</t>
  </si>
  <si>
    <t>FAC-1006</t>
  </si>
  <si>
    <t>2026-01-15</t>
  </si>
  <si>
    <t>Delta S.A.</t>
  </si>
  <si>
    <t>Impresora Láser</t>
  </si>
  <si>
    <t>FAC-1007</t>
  </si>
  <si>
    <t>2026-01-17</t>
  </si>
  <si>
    <t>Omega SRL</t>
  </si>
  <si>
    <t>Archivero Metal</t>
  </si>
  <si>
    <t>FAC-1008</t>
  </si>
  <si>
    <t>2026-01-19</t>
  </si>
  <si>
    <t>Pedro Alva</t>
  </si>
  <si>
    <t>Kits de Escritorio</t>
  </si>
  <si>
    <t>FAC-1009</t>
  </si>
  <si>
    <t>2026-01-22</t>
  </si>
  <si>
    <t>Sigma Inc</t>
  </si>
  <si>
    <t>Disco Duro 1TB</t>
  </si>
  <si>
    <t>FAC-1010</t>
  </si>
  <si>
    <t>2026-01-25</t>
  </si>
  <si>
    <t>Zeta Comercial</t>
  </si>
  <si>
    <t>Mesa de Reunión</t>
  </si>
  <si>
    <t>FAC-1011</t>
  </si>
  <si>
    <t>2026-02-01</t>
  </si>
  <si>
    <t>FAC-1012</t>
  </si>
  <si>
    <t>2026-02-03</t>
  </si>
  <si>
    <t>Laura Torres</t>
  </si>
  <si>
    <t>FAC-1013</t>
  </si>
  <si>
    <t>2026-02-05</t>
  </si>
  <si>
    <t>FAC-1014</t>
  </si>
  <si>
    <t>2026-02-08</t>
  </si>
  <si>
    <t>Laptop I5</t>
  </si>
  <si>
    <t>FAC-1015</t>
  </si>
  <si>
    <t>2026-02-10</t>
  </si>
  <si>
    <t>Andrés Vila</t>
  </si>
  <si>
    <t>FAC-1016</t>
  </si>
  <si>
    <t>2026-02-12</t>
  </si>
  <si>
    <t>FAC-1017</t>
  </si>
  <si>
    <t>2026-02-15</t>
  </si>
  <si>
    <t>Epsilon Ind</t>
  </si>
  <si>
    <t>FAC-1018</t>
  </si>
  <si>
    <t>2026-02-18</t>
  </si>
  <si>
    <t>FAC-1019</t>
  </si>
  <si>
    <t>2026-02-20</t>
  </si>
  <si>
    <t>FAC-1020</t>
  </si>
  <si>
    <t>2026-02-22</t>
  </si>
  <si>
    <t>FAC-1021</t>
  </si>
  <si>
    <t>2026-02-25</t>
  </si>
  <si>
    <t>Mouse Óptico</t>
  </si>
  <si>
    <t>FAC-1022</t>
  </si>
  <si>
    <t>2026-02-26</t>
  </si>
  <si>
    <t>FAC-1023</t>
  </si>
  <si>
    <t>2026-02-27</t>
  </si>
  <si>
    <t>FAC-1024</t>
  </si>
  <si>
    <t>2026-02-28</t>
  </si>
  <si>
    <t>FAC-1025</t>
  </si>
  <si>
    <t>Total General:</t>
  </si>
  <si>
    <t>Consignas</t>
  </si>
  <si>
    <t>Ordenar la tabla por 'Fecha' (antiguo a reciente) o por 'Total Neto' de mayor a menor para identificar el mayor ingreso.</t>
  </si>
  <si>
    <t>ORDENAR por la columna que desean agrupar (ej. Ordenar por Vendedor). Luego aplicar Subtotales para sumar la columna 'Total Neto' por cada vendedor.</t>
  </si>
  <si>
    <t>5. Aplicar Formatos</t>
  </si>
  <si>
    <t xml:space="preserve">2. Filtros </t>
  </si>
  <si>
    <t>Aplicar:</t>
  </si>
  <si>
    <t>3-Color de letra.</t>
  </si>
  <si>
    <t>4-La tipografia Calibri.</t>
  </si>
  <si>
    <t>5-El tamaño de la letra 11.</t>
  </si>
  <si>
    <t>6-Los bordes de la tabla del total general y total de la columna total neto.</t>
  </si>
  <si>
    <t>7-Alinear el texto.</t>
  </si>
  <si>
    <t>8-El formato moneda sin espacios y el porcentaje.</t>
  </si>
  <si>
    <t>1-Combinar celdas en el titulo.</t>
  </si>
  <si>
    <t>2-Los colores correspondientes con el balde de pintura.</t>
  </si>
  <si>
    <t>Comercio de informática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</si>
</sst>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\$#,##0.00"/>
    <numFmt numFmtId="165" formatCode="0.0%"/>
  </numFmts>
  <fonts count="7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b/>
      <sz val="11"/>
      <color rgb="FFFFFFFF"/>
      <name val="Calibri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4495E"/>
        <bgColor rgb="FF34495E"/>
      </patternFill>
    </fill>
    <fill>
      <patternFill patternType="solid">
        <fgColor rgb="FFF8F9FA"/>
        <bgColor rgb="FFF8F9FA"/>
      </patternFill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DC3C7"/>
      </left>
      <right style="thin">
        <color rgb="FFBDC3C7"/>
      </right>
      <top/>
      <bottom style="thin">
        <color rgb="FFBDC3C7"/>
      </bottom>
      <diagonal/>
    </border>
  </borders>
  <cellStyleXfs count="2">
    <xf numFmtId="0" fontId="0" fillId="0" borderId="0"/>
    <xf numFmtId="0" fontId="6" fillId="4" borderId="3" applyNumberFormat="0" applyFont="0" applyAlignment="0" applyProtection="0"/>
  </cellStyleXfs>
  <cellXfs count="22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right" vertical="center"/>
    </xf>
    <xf numFmtId="164" fontId="2" fillId="3" borderId="1" xfId="0" applyNumberFormat="1" applyFont="1" applyFill="1" applyBorder="1" applyAlignment="1">
      <alignment horizontal="right" vertical="center"/>
    </xf>
    <xf numFmtId="165" fontId="2" fillId="3" borderId="1" xfId="0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3" fontId="1" fillId="0" borderId="2" xfId="0" applyNumberFormat="1" applyFont="1" applyBorder="1"/>
    <xf numFmtId="164" fontId="1" fillId="0" borderId="2" xfId="0" applyNumberFormat="1" applyFont="1" applyBorder="1"/>
    <xf numFmtId="0" fontId="4" fillId="0" borderId="0" xfId="0" applyFont="1"/>
    <xf numFmtId="0" fontId="0" fillId="0" borderId="0" xfId="0" applyBorder="1"/>
    <xf numFmtId="0" fontId="5" fillId="0" borderId="0" xfId="0" applyFont="1"/>
    <xf numFmtId="0" fontId="0" fillId="0" borderId="0" xfId="0" applyFont="1"/>
    <xf numFmtId="0" fontId="3" fillId="2" borderId="4" xfId="0" applyFont="1" applyFill="1" applyBorder="1" applyAlignment="1">
      <alignment horizontal="center" vertical="center"/>
    </xf>
    <xf numFmtId="0" fontId="0" fillId="4" borderId="0" xfId="1" applyFont="1" applyBorder="1" applyAlignment="1">
      <alignment horizontal="center"/>
    </xf>
  </cellXfs>
  <cellStyles count="2">
    <cellStyle name="Normal" xfId="0" builtinId="0"/>
    <cellStyle name="Notas" xfId="1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7"/>
  <sheetViews>
    <sheetView tabSelected="1" workbookViewId="0">
      <selection activeCell="A2" sqref="A2"/>
    </sheetView>
  </sheetViews>
  <sheetFormatPr baseColWidth="10" defaultColWidth="9.140625" defaultRowHeight="15"/>
  <cols>
    <col min="1" max="1" width="24.5703125" customWidth="1"/>
    <col min="2" max="2" width="15" customWidth="1"/>
    <col min="3" max="3" width="18" customWidth="1"/>
    <col min="4" max="4" width="16" customWidth="1"/>
    <col min="5" max="5" width="12" customWidth="1"/>
    <col min="6" max="6" width="18" customWidth="1"/>
    <col min="7" max="7" width="14" customWidth="1"/>
    <col min="8" max="8" width="22" customWidth="1"/>
    <col min="9" max="9" width="12" customWidth="1"/>
    <col min="10" max="10" width="19" customWidth="1"/>
    <col min="11" max="12" width="15" customWidth="1"/>
    <col min="13" max="13" width="16" customWidth="1"/>
    <col min="14" max="14" width="13" customWidth="1"/>
  </cols>
  <sheetData>
    <row r="1" spans="1:14">
      <c r="A1" s="21" t="s">
        <v>125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ht="26.1" customHeight="1">
      <c r="A2" s="20" t="s">
        <v>5</v>
      </c>
      <c r="B2" s="20" t="s">
        <v>6</v>
      </c>
      <c r="C2" s="20" t="s">
        <v>7</v>
      </c>
      <c r="D2" s="20" t="s">
        <v>8</v>
      </c>
      <c r="E2" s="20" t="s">
        <v>9</v>
      </c>
      <c r="F2" s="20" t="s">
        <v>10</v>
      </c>
      <c r="G2" s="20" t="s">
        <v>11</v>
      </c>
      <c r="H2" s="20" t="s">
        <v>12</v>
      </c>
      <c r="I2" s="20" t="s">
        <v>13</v>
      </c>
      <c r="J2" s="20" t="s">
        <v>14</v>
      </c>
      <c r="K2" s="20" t="s">
        <v>15</v>
      </c>
      <c r="L2" s="20" t="s">
        <v>16</v>
      </c>
      <c r="M2" s="20" t="s">
        <v>17</v>
      </c>
      <c r="N2" s="20" t="s">
        <v>18</v>
      </c>
    </row>
    <row r="3" spans="1:14" ht="20.100000000000001" customHeight="1">
      <c r="A3" s="3" t="s">
        <v>19</v>
      </c>
      <c r="B3" s="3" t="s">
        <v>20</v>
      </c>
      <c r="C3" s="4" t="s">
        <v>21</v>
      </c>
      <c r="D3" s="3" t="s">
        <v>22</v>
      </c>
      <c r="E3" s="3" t="s">
        <v>23</v>
      </c>
      <c r="F3" s="4" t="s">
        <v>24</v>
      </c>
      <c r="G3" s="3" t="s">
        <v>25</v>
      </c>
      <c r="H3" s="4" t="s">
        <v>26</v>
      </c>
      <c r="I3" s="5">
        <v>5</v>
      </c>
      <c r="J3" s="6">
        <v>120</v>
      </c>
      <c r="K3" s="6">
        <f t="shared" ref="K3:K27" si="0">I3*J3</f>
        <v>600</v>
      </c>
      <c r="L3" s="7">
        <v>0.1</v>
      </c>
      <c r="M3" s="6">
        <f t="shared" ref="M3:M27" si="1">K3*(1-L3)</f>
        <v>540</v>
      </c>
      <c r="N3" s="3" t="s">
        <v>27</v>
      </c>
    </row>
    <row r="4" spans="1:14" ht="20.100000000000001" customHeight="1">
      <c r="A4" s="8" t="s">
        <v>28</v>
      </c>
      <c r="B4" s="8" t="s">
        <v>29</v>
      </c>
      <c r="C4" s="9" t="s">
        <v>30</v>
      </c>
      <c r="D4" s="8" t="s">
        <v>31</v>
      </c>
      <c r="E4" s="8" t="s">
        <v>32</v>
      </c>
      <c r="F4" s="9" t="s">
        <v>33</v>
      </c>
      <c r="G4" s="8" t="s">
        <v>34</v>
      </c>
      <c r="H4" s="9" t="s">
        <v>35</v>
      </c>
      <c r="I4" s="10">
        <v>2</v>
      </c>
      <c r="J4" s="11">
        <v>85</v>
      </c>
      <c r="K4" s="11">
        <f t="shared" si="0"/>
        <v>170</v>
      </c>
      <c r="L4" s="12">
        <v>0</v>
      </c>
      <c r="M4" s="11">
        <f t="shared" si="1"/>
        <v>170</v>
      </c>
      <c r="N4" s="8" t="s">
        <v>27</v>
      </c>
    </row>
    <row r="5" spans="1:14" ht="20.100000000000001" customHeight="1">
      <c r="A5" s="3" t="s">
        <v>36</v>
      </c>
      <c r="B5" s="3" t="s">
        <v>37</v>
      </c>
      <c r="C5" s="4" t="s">
        <v>38</v>
      </c>
      <c r="D5" s="3" t="s">
        <v>39</v>
      </c>
      <c r="E5" s="3" t="s">
        <v>40</v>
      </c>
      <c r="F5" s="4" t="s">
        <v>41</v>
      </c>
      <c r="G5" s="3" t="s">
        <v>42</v>
      </c>
      <c r="H5" s="4" t="s">
        <v>43</v>
      </c>
      <c r="I5" s="5">
        <v>15</v>
      </c>
      <c r="J5" s="6">
        <v>45</v>
      </c>
      <c r="K5" s="6">
        <f t="shared" si="0"/>
        <v>675</v>
      </c>
      <c r="L5" s="7">
        <v>0.15</v>
      </c>
      <c r="M5" s="6">
        <f t="shared" si="1"/>
        <v>573.75</v>
      </c>
      <c r="N5" s="3" t="s">
        <v>44</v>
      </c>
    </row>
    <row r="6" spans="1:14" ht="20.100000000000001" customHeight="1">
      <c r="A6" s="8" t="s">
        <v>45</v>
      </c>
      <c r="B6" s="8" t="s">
        <v>46</v>
      </c>
      <c r="C6" s="9" t="s">
        <v>47</v>
      </c>
      <c r="D6" s="8" t="s">
        <v>22</v>
      </c>
      <c r="E6" s="8" t="s">
        <v>23</v>
      </c>
      <c r="F6" s="9" t="s">
        <v>24</v>
      </c>
      <c r="G6" s="8" t="s">
        <v>25</v>
      </c>
      <c r="H6" s="9" t="s">
        <v>48</v>
      </c>
      <c r="I6" s="10">
        <v>8</v>
      </c>
      <c r="J6" s="11">
        <v>60</v>
      </c>
      <c r="K6" s="11">
        <f t="shared" si="0"/>
        <v>480</v>
      </c>
      <c r="L6" s="12">
        <v>0.1</v>
      </c>
      <c r="M6" s="11">
        <f t="shared" si="1"/>
        <v>432</v>
      </c>
      <c r="N6" s="8" t="s">
        <v>27</v>
      </c>
    </row>
    <row r="7" spans="1:14" ht="20.100000000000001" customHeight="1">
      <c r="A7" s="3" t="s">
        <v>49</v>
      </c>
      <c r="B7" s="3" t="s">
        <v>50</v>
      </c>
      <c r="C7" s="4" t="s">
        <v>51</v>
      </c>
      <c r="D7" s="3" t="s">
        <v>31</v>
      </c>
      <c r="E7" s="3" t="s">
        <v>52</v>
      </c>
      <c r="F7" s="4" t="s">
        <v>53</v>
      </c>
      <c r="G7" s="3" t="s">
        <v>34</v>
      </c>
      <c r="H7" s="4" t="s">
        <v>54</v>
      </c>
      <c r="I7" s="5">
        <v>1</v>
      </c>
      <c r="J7" s="6">
        <v>210</v>
      </c>
      <c r="K7" s="6">
        <f t="shared" si="0"/>
        <v>210</v>
      </c>
      <c r="L7" s="7">
        <v>0</v>
      </c>
      <c r="M7" s="6">
        <f t="shared" si="1"/>
        <v>210</v>
      </c>
      <c r="N7" s="3" t="s">
        <v>55</v>
      </c>
    </row>
    <row r="8" spans="1:14" ht="20.100000000000001" customHeight="1">
      <c r="A8" s="8" t="s">
        <v>56</v>
      </c>
      <c r="B8" s="8" t="s">
        <v>57</v>
      </c>
      <c r="C8" s="9" t="s">
        <v>58</v>
      </c>
      <c r="D8" s="8" t="s">
        <v>39</v>
      </c>
      <c r="E8" s="8" t="s">
        <v>32</v>
      </c>
      <c r="F8" s="9" t="s">
        <v>33</v>
      </c>
      <c r="G8" s="8" t="s">
        <v>25</v>
      </c>
      <c r="H8" s="9" t="s">
        <v>59</v>
      </c>
      <c r="I8" s="10">
        <v>3</v>
      </c>
      <c r="J8" s="11">
        <v>340</v>
      </c>
      <c r="K8" s="11">
        <f t="shared" si="0"/>
        <v>1020</v>
      </c>
      <c r="L8" s="12">
        <v>0.15</v>
      </c>
      <c r="M8" s="11">
        <f t="shared" si="1"/>
        <v>867</v>
      </c>
      <c r="N8" s="8" t="s">
        <v>27</v>
      </c>
    </row>
    <row r="9" spans="1:14" ht="20.100000000000001" customHeight="1">
      <c r="A9" s="3" t="s">
        <v>60</v>
      </c>
      <c r="B9" s="3" t="s">
        <v>61</v>
      </c>
      <c r="C9" s="4" t="s">
        <v>62</v>
      </c>
      <c r="D9" s="3" t="s">
        <v>22</v>
      </c>
      <c r="E9" s="3" t="s">
        <v>40</v>
      </c>
      <c r="F9" s="4" t="s">
        <v>41</v>
      </c>
      <c r="G9" s="3" t="s">
        <v>42</v>
      </c>
      <c r="H9" s="4" t="s">
        <v>63</v>
      </c>
      <c r="I9" s="5">
        <v>4</v>
      </c>
      <c r="J9" s="6">
        <v>115</v>
      </c>
      <c r="K9" s="6">
        <f t="shared" si="0"/>
        <v>460</v>
      </c>
      <c r="L9" s="7">
        <v>0.1</v>
      </c>
      <c r="M9" s="6">
        <f t="shared" si="1"/>
        <v>414</v>
      </c>
      <c r="N9" s="3" t="s">
        <v>44</v>
      </c>
    </row>
    <row r="10" spans="1:14" ht="20.100000000000001" customHeight="1">
      <c r="A10" s="8" t="s">
        <v>64</v>
      </c>
      <c r="B10" s="8" t="s">
        <v>65</v>
      </c>
      <c r="C10" s="9" t="s">
        <v>66</v>
      </c>
      <c r="D10" s="8" t="s">
        <v>31</v>
      </c>
      <c r="E10" s="8" t="s">
        <v>23</v>
      </c>
      <c r="F10" s="9" t="s">
        <v>24</v>
      </c>
      <c r="G10" s="8" t="s">
        <v>42</v>
      </c>
      <c r="H10" s="9" t="s">
        <v>67</v>
      </c>
      <c r="I10" s="10">
        <v>10</v>
      </c>
      <c r="J10" s="11">
        <v>25</v>
      </c>
      <c r="K10" s="11">
        <f t="shared" si="0"/>
        <v>250</v>
      </c>
      <c r="L10" s="12">
        <v>0</v>
      </c>
      <c r="M10" s="11">
        <f t="shared" si="1"/>
        <v>250</v>
      </c>
      <c r="N10" s="8" t="s">
        <v>27</v>
      </c>
    </row>
    <row r="11" spans="1:14" ht="20.100000000000001" customHeight="1">
      <c r="A11" s="3" t="s">
        <v>68</v>
      </c>
      <c r="B11" s="3" t="s">
        <v>69</v>
      </c>
      <c r="C11" s="4" t="s">
        <v>70</v>
      </c>
      <c r="D11" s="3" t="s">
        <v>39</v>
      </c>
      <c r="E11" s="3" t="s">
        <v>52</v>
      </c>
      <c r="F11" s="4" t="s">
        <v>53</v>
      </c>
      <c r="G11" s="3" t="s">
        <v>25</v>
      </c>
      <c r="H11" s="4" t="s">
        <v>71</v>
      </c>
      <c r="I11" s="5">
        <v>12</v>
      </c>
      <c r="J11" s="6">
        <v>75</v>
      </c>
      <c r="K11" s="6">
        <f t="shared" si="0"/>
        <v>900</v>
      </c>
      <c r="L11" s="7">
        <v>0.15</v>
      </c>
      <c r="M11" s="6">
        <f t="shared" si="1"/>
        <v>765</v>
      </c>
      <c r="N11" s="3" t="s">
        <v>27</v>
      </c>
    </row>
    <row r="12" spans="1:14" ht="20.100000000000001" customHeight="1">
      <c r="A12" s="8" t="s">
        <v>72</v>
      </c>
      <c r="B12" s="8" t="s">
        <v>73</v>
      </c>
      <c r="C12" s="9" t="s">
        <v>74</v>
      </c>
      <c r="D12" s="8" t="s">
        <v>22</v>
      </c>
      <c r="E12" s="8" t="s">
        <v>32</v>
      </c>
      <c r="F12" s="9" t="s">
        <v>33</v>
      </c>
      <c r="G12" s="8" t="s">
        <v>34</v>
      </c>
      <c r="H12" s="9" t="s">
        <v>75</v>
      </c>
      <c r="I12" s="10">
        <v>1</v>
      </c>
      <c r="J12" s="11">
        <v>450</v>
      </c>
      <c r="K12" s="11">
        <f t="shared" si="0"/>
        <v>450</v>
      </c>
      <c r="L12" s="12">
        <v>0.1</v>
      </c>
      <c r="M12" s="11">
        <f t="shared" si="1"/>
        <v>405</v>
      </c>
      <c r="N12" s="8" t="s">
        <v>44</v>
      </c>
    </row>
    <row r="13" spans="1:14" ht="20.100000000000001" customHeight="1">
      <c r="A13" s="3" t="s">
        <v>76</v>
      </c>
      <c r="B13" s="3" t="s">
        <v>77</v>
      </c>
      <c r="C13" s="4" t="s">
        <v>21</v>
      </c>
      <c r="D13" s="3" t="s">
        <v>22</v>
      </c>
      <c r="E13" s="3" t="s">
        <v>23</v>
      </c>
      <c r="F13" s="4" t="s">
        <v>24</v>
      </c>
      <c r="G13" s="3" t="s">
        <v>42</v>
      </c>
      <c r="H13" s="4" t="s">
        <v>43</v>
      </c>
      <c r="I13" s="5">
        <v>20</v>
      </c>
      <c r="J13" s="6">
        <v>42</v>
      </c>
      <c r="K13" s="6">
        <f t="shared" si="0"/>
        <v>840</v>
      </c>
      <c r="L13" s="7">
        <v>0.1</v>
      </c>
      <c r="M13" s="6">
        <f t="shared" si="1"/>
        <v>756</v>
      </c>
      <c r="N13" s="3" t="s">
        <v>27</v>
      </c>
    </row>
    <row r="14" spans="1:14" ht="20.100000000000001" customHeight="1">
      <c r="A14" s="8" t="s">
        <v>78</v>
      </c>
      <c r="B14" s="8" t="s">
        <v>79</v>
      </c>
      <c r="C14" s="9" t="s">
        <v>80</v>
      </c>
      <c r="D14" s="8" t="s">
        <v>31</v>
      </c>
      <c r="E14" s="8" t="s">
        <v>40</v>
      </c>
      <c r="F14" s="9" t="s">
        <v>41</v>
      </c>
      <c r="G14" s="8" t="s">
        <v>25</v>
      </c>
      <c r="H14" s="9" t="s">
        <v>26</v>
      </c>
      <c r="I14" s="10">
        <v>1</v>
      </c>
      <c r="J14" s="11">
        <v>125</v>
      </c>
      <c r="K14" s="11">
        <f t="shared" si="0"/>
        <v>125</v>
      </c>
      <c r="L14" s="12">
        <v>0</v>
      </c>
      <c r="M14" s="11">
        <f t="shared" si="1"/>
        <v>125</v>
      </c>
      <c r="N14" s="8" t="s">
        <v>27</v>
      </c>
    </row>
    <row r="15" spans="1:14" ht="20.100000000000001" customHeight="1">
      <c r="A15" s="3" t="s">
        <v>81</v>
      </c>
      <c r="B15" s="3" t="s">
        <v>82</v>
      </c>
      <c r="C15" s="4" t="s">
        <v>38</v>
      </c>
      <c r="D15" s="3" t="s">
        <v>39</v>
      </c>
      <c r="E15" s="3" t="s">
        <v>40</v>
      </c>
      <c r="F15" s="4" t="s">
        <v>41</v>
      </c>
      <c r="G15" s="3" t="s">
        <v>34</v>
      </c>
      <c r="H15" s="4" t="s">
        <v>35</v>
      </c>
      <c r="I15" s="5">
        <v>10</v>
      </c>
      <c r="J15" s="6">
        <v>80</v>
      </c>
      <c r="K15" s="6">
        <f t="shared" si="0"/>
        <v>800</v>
      </c>
      <c r="L15" s="7">
        <v>0.15</v>
      </c>
      <c r="M15" s="6">
        <f t="shared" si="1"/>
        <v>680</v>
      </c>
      <c r="N15" s="3" t="s">
        <v>27</v>
      </c>
    </row>
    <row r="16" spans="1:14" ht="20.100000000000001" customHeight="1">
      <c r="A16" s="8" t="s">
        <v>83</v>
      </c>
      <c r="B16" s="8" t="s">
        <v>84</v>
      </c>
      <c r="C16" s="9" t="s">
        <v>47</v>
      </c>
      <c r="D16" s="8" t="s">
        <v>22</v>
      </c>
      <c r="E16" s="8" t="s">
        <v>23</v>
      </c>
      <c r="F16" s="9" t="s">
        <v>24</v>
      </c>
      <c r="G16" s="8" t="s">
        <v>25</v>
      </c>
      <c r="H16" s="9" t="s">
        <v>85</v>
      </c>
      <c r="I16" s="10">
        <v>2</v>
      </c>
      <c r="J16" s="11">
        <v>650</v>
      </c>
      <c r="K16" s="11">
        <f t="shared" si="0"/>
        <v>1300</v>
      </c>
      <c r="L16" s="12">
        <v>0.12</v>
      </c>
      <c r="M16" s="11">
        <f t="shared" si="1"/>
        <v>1144</v>
      </c>
      <c r="N16" s="8" t="s">
        <v>27</v>
      </c>
    </row>
    <row r="17" spans="1:14" ht="20.100000000000001" customHeight="1">
      <c r="A17" s="3" t="s">
        <v>86</v>
      </c>
      <c r="B17" s="3" t="s">
        <v>87</v>
      </c>
      <c r="C17" s="4" t="s">
        <v>88</v>
      </c>
      <c r="D17" s="3" t="s">
        <v>31</v>
      </c>
      <c r="E17" s="3" t="s">
        <v>32</v>
      </c>
      <c r="F17" s="4" t="s">
        <v>33</v>
      </c>
      <c r="G17" s="3" t="s">
        <v>42</v>
      </c>
      <c r="H17" s="4" t="s">
        <v>67</v>
      </c>
      <c r="I17" s="5">
        <v>3</v>
      </c>
      <c r="J17" s="6">
        <v>28</v>
      </c>
      <c r="K17" s="6">
        <f t="shared" si="0"/>
        <v>84</v>
      </c>
      <c r="L17" s="7">
        <v>0</v>
      </c>
      <c r="M17" s="6">
        <f t="shared" si="1"/>
        <v>84</v>
      </c>
      <c r="N17" s="3" t="s">
        <v>55</v>
      </c>
    </row>
    <row r="18" spans="1:14" ht="20.100000000000001" customHeight="1">
      <c r="A18" s="8" t="s">
        <v>89</v>
      </c>
      <c r="B18" s="8" t="s">
        <v>90</v>
      </c>
      <c r="C18" s="9" t="s">
        <v>58</v>
      </c>
      <c r="D18" s="8" t="s">
        <v>39</v>
      </c>
      <c r="E18" s="8" t="s">
        <v>32</v>
      </c>
      <c r="F18" s="9" t="s">
        <v>33</v>
      </c>
      <c r="G18" s="8" t="s">
        <v>25</v>
      </c>
      <c r="H18" s="9" t="s">
        <v>48</v>
      </c>
      <c r="I18" s="10">
        <v>14</v>
      </c>
      <c r="J18" s="11">
        <v>55</v>
      </c>
      <c r="K18" s="11">
        <f t="shared" si="0"/>
        <v>770</v>
      </c>
      <c r="L18" s="12">
        <v>0.15</v>
      </c>
      <c r="M18" s="11">
        <f t="shared" si="1"/>
        <v>654.5</v>
      </c>
      <c r="N18" s="8" t="s">
        <v>27</v>
      </c>
    </row>
    <row r="19" spans="1:14" ht="20.100000000000001" customHeight="1">
      <c r="A19" s="3" t="s">
        <v>91</v>
      </c>
      <c r="B19" s="3" t="s">
        <v>92</v>
      </c>
      <c r="C19" s="4" t="s">
        <v>93</v>
      </c>
      <c r="D19" s="3" t="s">
        <v>22</v>
      </c>
      <c r="E19" s="3" t="s">
        <v>52</v>
      </c>
      <c r="F19" s="4" t="s">
        <v>53</v>
      </c>
      <c r="G19" s="3" t="s">
        <v>34</v>
      </c>
      <c r="H19" s="4" t="s">
        <v>54</v>
      </c>
      <c r="I19" s="5">
        <v>5</v>
      </c>
      <c r="J19" s="6">
        <v>200</v>
      </c>
      <c r="K19" s="6">
        <f t="shared" si="0"/>
        <v>1000</v>
      </c>
      <c r="L19" s="7">
        <v>0.1</v>
      </c>
      <c r="M19" s="6">
        <f t="shared" si="1"/>
        <v>900</v>
      </c>
      <c r="N19" s="3" t="s">
        <v>44</v>
      </c>
    </row>
    <row r="20" spans="1:14" ht="20.100000000000001" customHeight="1">
      <c r="A20" s="8" t="s">
        <v>94</v>
      </c>
      <c r="B20" s="8" t="s">
        <v>95</v>
      </c>
      <c r="C20" s="9" t="s">
        <v>62</v>
      </c>
      <c r="D20" s="8" t="s">
        <v>22</v>
      </c>
      <c r="E20" s="8" t="s">
        <v>40</v>
      </c>
      <c r="F20" s="9" t="s">
        <v>41</v>
      </c>
      <c r="G20" s="8" t="s">
        <v>25</v>
      </c>
      <c r="H20" s="9" t="s">
        <v>71</v>
      </c>
      <c r="I20" s="10">
        <v>6</v>
      </c>
      <c r="J20" s="11">
        <v>80</v>
      </c>
      <c r="K20" s="11">
        <f t="shared" si="0"/>
        <v>480</v>
      </c>
      <c r="L20" s="12">
        <v>0.1</v>
      </c>
      <c r="M20" s="11">
        <f t="shared" si="1"/>
        <v>432</v>
      </c>
      <c r="N20" s="8" t="s">
        <v>27</v>
      </c>
    </row>
    <row r="21" spans="1:14" ht="20.100000000000001" customHeight="1">
      <c r="A21" s="3" t="s">
        <v>96</v>
      </c>
      <c r="B21" s="3" t="s">
        <v>97</v>
      </c>
      <c r="C21" s="4" t="s">
        <v>74</v>
      </c>
      <c r="D21" s="3" t="s">
        <v>22</v>
      </c>
      <c r="E21" s="3" t="s">
        <v>32</v>
      </c>
      <c r="F21" s="4" t="s">
        <v>33</v>
      </c>
      <c r="G21" s="3" t="s">
        <v>42</v>
      </c>
      <c r="H21" s="4" t="s">
        <v>63</v>
      </c>
      <c r="I21" s="5">
        <v>2</v>
      </c>
      <c r="J21" s="6">
        <v>120</v>
      </c>
      <c r="K21" s="6">
        <f t="shared" si="0"/>
        <v>240</v>
      </c>
      <c r="L21" s="7">
        <v>0.1</v>
      </c>
      <c r="M21" s="6">
        <f t="shared" si="1"/>
        <v>216</v>
      </c>
      <c r="N21" s="3" t="s">
        <v>27</v>
      </c>
    </row>
    <row r="22" spans="1:14" ht="20.100000000000001" customHeight="1">
      <c r="A22" s="8" t="s">
        <v>98</v>
      </c>
      <c r="B22" s="8" t="s">
        <v>99</v>
      </c>
      <c r="C22" s="9" t="s">
        <v>70</v>
      </c>
      <c r="D22" s="8" t="s">
        <v>39</v>
      </c>
      <c r="E22" s="8" t="s">
        <v>52</v>
      </c>
      <c r="F22" s="9" t="s">
        <v>53</v>
      </c>
      <c r="G22" s="8" t="s">
        <v>25</v>
      </c>
      <c r="H22" s="9" t="s">
        <v>26</v>
      </c>
      <c r="I22" s="10">
        <v>8</v>
      </c>
      <c r="J22" s="11">
        <v>115</v>
      </c>
      <c r="K22" s="11">
        <f t="shared" si="0"/>
        <v>920</v>
      </c>
      <c r="L22" s="12">
        <v>0.15</v>
      </c>
      <c r="M22" s="11">
        <f t="shared" si="1"/>
        <v>782</v>
      </c>
      <c r="N22" s="8" t="s">
        <v>27</v>
      </c>
    </row>
    <row r="23" spans="1:14" ht="20.100000000000001" customHeight="1">
      <c r="A23" s="3" t="s">
        <v>100</v>
      </c>
      <c r="B23" s="3" t="s">
        <v>101</v>
      </c>
      <c r="C23" s="4" t="s">
        <v>30</v>
      </c>
      <c r="D23" s="3" t="s">
        <v>31</v>
      </c>
      <c r="E23" s="3" t="s">
        <v>32</v>
      </c>
      <c r="F23" s="4" t="s">
        <v>33</v>
      </c>
      <c r="G23" s="3" t="s">
        <v>25</v>
      </c>
      <c r="H23" s="4" t="s">
        <v>102</v>
      </c>
      <c r="I23" s="5">
        <v>25</v>
      </c>
      <c r="J23" s="6">
        <v>15</v>
      </c>
      <c r="K23" s="6">
        <f t="shared" si="0"/>
        <v>375</v>
      </c>
      <c r="L23" s="7">
        <v>0</v>
      </c>
      <c r="M23" s="6">
        <f t="shared" si="1"/>
        <v>375</v>
      </c>
      <c r="N23" s="3" t="s">
        <v>27</v>
      </c>
    </row>
    <row r="24" spans="1:14" ht="20.100000000000001" customHeight="1">
      <c r="A24" s="8" t="s">
        <v>103</v>
      </c>
      <c r="B24" s="8" t="s">
        <v>104</v>
      </c>
      <c r="C24" s="9" t="s">
        <v>51</v>
      </c>
      <c r="D24" s="8" t="s">
        <v>31</v>
      </c>
      <c r="E24" s="8" t="s">
        <v>52</v>
      </c>
      <c r="F24" s="9" t="s">
        <v>53</v>
      </c>
      <c r="G24" s="8" t="s">
        <v>42</v>
      </c>
      <c r="H24" s="9" t="s">
        <v>43</v>
      </c>
      <c r="I24" s="10">
        <v>5</v>
      </c>
      <c r="J24" s="11">
        <v>48</v>
      </c>
      <c r="K24" s="11">
        <f t="shared" si="0"/>
        <v>240</v>
      </c>
      <c r="L24" s="12">
        <v>0</v>
      </c>
      <c r="M24" s="11">
        <f t="shared" si="1"/>
        <v>240</v>
      </c>
      <c r="N24" s="8" t="s">
        <v>44</v>
      </c>
    </row>
    <row r="25" spans="1:14" ht="20.100000000000001" customHeight="1">
      <c r="A25" s="3" t="s">
        <v>105</v>
      </c>
      <c r="B25" s="3" t="s">
        <v>106</v>
      </c>
      <c r="C25" s="4" t="s">
        <v>47</v>
      </c>
      <c r="D25" s="3" t="s">
        <v>22</v>
      </c>
      <c r="E25" s="3" t="s">
        <v>23</v>
      </c>
      <c r="F25" s="4" t="s">
        <v>24</v>
      </c>
      <c r="G25" s="3" t="s">
        <v>34</v>
      </c>
      <c r="H25" s="4" t="s">
        <v>35</v>
      </c>
      <c r="I25" s="5">
        <v>4</v>
      </c>
      <c r="J25" s="6">
        <v>85</v>
      </c>
      <c r="K25" s="6">
        <f t="shared" si="0"/>
        <v>340</v>
      </c>
      <c r="L25" s="7">
        <v>0.1</v>
      </c>
      <c r="M25" s="6">
        <f t="shared" si="1"/>
        <v>306</v>
      </c>
      <c r="N25" s="3" t="s">
        <v>27</v>
      </c>
    </row>
    <row r="26" spans="1:14" ht="20.100000000000001" customHeight="1">
      <c r="A26" s="8" t="s">
        <v>107</v>
      </c>
      <c r="B26" s="8" t="s">
        <v>108</v>
      </c>
      <c r="C26" s="9" t="s">
        <v>93</v>
      </c>
      <c r="D26" s="8" t="s">
        <v>22</v>
      </c>
      <c r="E26" s="8" t="s">
        <v>52</v>
      </c>
      <c r="F26" s="9" t="s">
        <v>53</v>
      </c>
      <c r="G26" s="8" t="s">
        <v>25</v>
      </c>
      <c r="H26" s="9" t="s">
        <v>59</v>
      </c>
      <c r="I26" s="10">
        <v>2</v>
      </c>
      <c r="J26" s="11">
        <v>350</v>
      </c>
      <c r="K26" s="11">
        <f t="shared" si="0"/>
        <v>700</v>
      </c>
      <c r="L26" s="12">
        <v>0.1</v>
      </c>
      <c r="M26" s="11">
        <f t="shared" si="1"/>
        <v>630</v>
      </c>
      <c r="N26" s="8" t="s">
        <v>27</v>
      </c>
    </row>
    <row r="27" spans="1:14" ht="20.100000000000001" customHeight="1">
      <c r="A27" s="3" t="s">
        <v>109</v>
      </c>
      <c r="B27" s="3" t="s">
        <v>108</v>
      </c>
      <c r="C27" s="4" t="s">
        <v>38</v>
      </c>
      <c r="D27" s="3" t="s">
        <v>39</v>
      </c>
      <c r="E27" s="3" t="s">
        <v>40</v>
      </c>
      <c r="F27" s="4" t="s">
        <v>41</v>
      </c>
      <c r="G27" s="3" t="s">
        <v>25</v>
      </c>
      <c r="H27" s="4" t="s">
        <v>85</v>
      </c>
      <c r="I27" s="5">
        <v>4</v>
      </c>
      <c r="J27" s="6">
        <v>630</v>
      </c>
      <c r="K27" s="6">
        <f t="shared" si="0"/>
        <v>2520</v>
      </c>
      <c r="L27" s="7">
        <v>0.15</v>
      </c>
      <c r="M27" s="6">
        <f t="shared" si="1"/>
        <v>2142</v>
      </c>
      <c r="N27" s="3" t="s">
        <v>44</v>
      </c>
    </row>
    <row r="28" spans="1:14" ht="21.95" customHeight="1" thickBot="1">
      <c r="H28" s="13" t="s">
        <v>110</v>
      </c>
      <c r="I28" s="14">
        <f>SUM(I3:I27)</f>
        <v>172</v>
      </c>
      <c r="M28" s="15">
        <f>SUM(M3:M27)</f>
        <v>14093.25</v>
      </c>
    </row>
    <row r="29" spans="1:14" ht="15.75" thickTop="1"/>
    <row r="30" spans="1:14">
      <c r="A30" s="2" t="s">
        <v>111</v>
      </c>
    </row>
    <row r="31" spans="1:14">
      <c r="A31" s="1" t="s">
        <v>0</v>
      </c>
      <c r="B31" t="s">
        <v>112</v>
      </c>
    </row>
    <row r="32" spans="1:14">
      <c r="A32" s="16" t="s">
        <v>115</v>
      </c>
      <c r="B32" t="s">
        <v>1</v>
      </c>
    </row>
    <row r="33" spans="1:3">
      <c r="A33" s="1" t="s">
        <v>2</v>
      </c>
      <c r="B33" t="s">
        <v>3</v>
      </c>
    </row>
    <row r="34" spans="1:3">
      <c r="A34" s="1" t="s">
        <v>4</v>
      </c>
      <c r="B34" t="s">
        <v>113</v>
      </c>
    </row>
    <row r="35" spans="1:3">
      <c r="A35" s="1" t="s">
        <v>114</v>
      </c>
      <c r="B35" s="18" t="s">
        <v>116</v>
      </c>
    </row>
    <row r="36" spans="1:3">
      <c r="A36" s="1"/>
      <c r="B36" s="19" t="s">
        <v>123</v>
      </c>
    </row>
    <row r="37" spans="1:3">
      <c r="B37" t="s">
        <v>124</v>
      </c>
    </row>
    <row r="38" spans="1:3">
      <c r="B38" t="s">
        <v>117</v>
      </c>
    </row>
    <row r="39" spans="1:3">
      <c r="B39" t="s">
        <v>118</v>
      </c>
    </row>
    <row r="40" spans="1:3">
      <c r="A40" s="17"/>
      <c r="B40" s="17" t="s">
        <v>119</v>
      </c>
      <c r="C40" s="17"/>
    </row>
    <row r="41" spans="1:3">
      <c r="A41" s="17"/>
      <c r="B41" s="17" t="s">
        <v>120</v>
      </c>
      <c r="C41" s="17"/>
    </row>
    <row r="42" spans="1:3">
      <c r="A42" s="17"/>
      <c r="B42" s="17" t="s">
        <v>121</v>
      </c>
      <c r="C42" s="17"/>
    </row>
    <row r="43" spans="1:3">
      <c r="A43" s="17"/>
      <c r="B43" s="17" t="s">
        <v>122</v>
      </c>
      <c r="C43" s="17"/>
    </row>
    <row r="44" spans="1:3">
      <c r="A44" s="17"/>
      <c r="B44" s="17"/>
      <c r="C44" s="17"/>
    </row>
    <row r="46" spans="1:3">
      <c r="A46" s="17"/>
      <c r="B46" s="17"/>
      <c r="C46" s="17"/>
    </row>
    <row r="47" spans="1:3">
      <c r="A47" s="17"/>
      <c r="B47" s="17"/>
      <c r="C47" s="17"/>
    </row>
  </sheetData>
  <mergeCells count="1">
    <mergeCell ref="A1:N1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Ventas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Hernan Vladimirsky</cp:lastModifiedBy>
  <dcterms:created xsi:type="dcterms:W3CDTF">2026-05-17T19:19:37Z</dcterms:created>
  <dcterms:modified xsi:type="dcterms:W3CDTF">2026-05-17T20:45:50Z</dcterms:modified>
</cp:coreProperties>
</file>